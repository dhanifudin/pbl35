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8500" windowHeight="12165" tabRatio="600" firstSheet="0" activeTab="5" autoFilterDateGrouping="1"/>
  </bookViews>
  <sheets>
    <sheet name="Petunjuk" sheetId="1" state="visible" r:id="rId1"/>
    <sheet name="Proposal" sheetId="2" state="visible" r:id="rId2"/>
    <sheet name="Milestone 1" sheetId="3" state="visible" r:id="rId3"/>
    <sheet name="Milestone 2" sheetId="4" state="visible" r:id="rId4"/>
    <sheet name="Final" sheetId="5" state="visible" r:id="rId5"/>
    <sheet name="Rekap" sheetId="6" state="visible" r:id="rId6"/>
  </sheets>
  <definedNames/>
  <calcPr calcId="144525" fullCalcOnLoad="1"/>
</workbook>
</file>

<file path=xl/styles.xml><?xml version="1.0" encoding="utf-8"?>
<styleSheet xmlns="http://schemas.openxmlformats.org/spreadsheetml/2006/main">
  <numFmts count="3">
    <numFmt numFmtId="164" formatCode="0.0"/>
    <numFmt numFmtId="165" formatCode="_ * #,##0_ ;_ * \-#,##0_ ;_ * &quot;-&quot;_ ;_ @_ "/>
    <numFmt numFmtId="166" formatCode="_ * #,##0.00_ ;_ * \-#,##0.00_ ;_ * &quot;-&quot;??_ ;_ @_ "/>
  </numFmts>
  <fonts count="31">
    <font>
      <name val="Calibri"/>
      <charset val="134"/>
      <color theme="1"/>
      <sz val="11"/>
      <scheme val="minor"/>
    </font>
    <font>
      <name val="Calibri"/>
      <charset val="134"/>
      <b val="1"/>
      <color rgb="FF003B7A"/>
      <sz val="16"/>
    </font>
    <font>
      <name val="Calibri"/>
      <charset val="134"/>
      <i val="1"/>
      <color rgb="FF00274F"/>
      <sz val="10"/>
    </font>
    <font>
      <name val="Calibri"/>
      <charset val="134"/>
      <b val="1"/>
      <color rgb="FF00274F"/>
      <sz val="10"/>
    </font>
    <font>
      <name val="Calibri"/>
      <charset val="134"/>
      <b val="1"/>
      <color rgb="FFFFFFFF"/>
      <sz val="10"/>
    </font>
    <font>
      <name val="Calibri"/>
      <charset val="134"/>
      <color rgb="FF1A1A2E"/>
      <sz val="10"/>
    </font>
    <font>
      <name val="Calibri"/>
      <charset val="134"/>
      <b val="1"/>
      <color rgb="FF00274F"/>
      <sz val="12"/>
    </font>
    <font>
      <name val="Calibri"/>
      <charset val="134"/>
      <color theme="1"/>
      <sz val="11"/>
      <scheme val="minor"/>
    </font>
    <font>
      <name val="Calibri"/>
      <charset val="0"/>
      <color theme="0"/>
      <sz val="11"/>
      <scheme val="minor"/>
    </font>
    <font>
      <name val="Calibri"/>
      <charset val="134"/>
      <b val="1"/>
      <color theme="3"/>
      <sz val="13"/>
      <scheme val="minor"/>
    </font>
    <font>
      <name val="Calibri"/>
      <charset val="0"/>
      <color rgb="FFFF0000"/>
      <sz val="11"/>
      <scheme val="minor"/>
    </font>
    <font>
      <name val="Calibri"/>
      <charset val="0"/>
      <color rgb="FF3F3F76"/>
      <sz val="11"/>
      <scheme val="minor"/>
    </font>
    <font>
      <name val="Calibri"/>
      <charset val="0"/>
      <color theme="1"/>
      <sz val="11"/>
      <scheme val="minor"/>
    </font>
    <font>
      <name val="Calibri"/>
      <charset val="0"/>
      <b val="1"/>
      <color rgb="FFFFFFFF"/>
      <sz val="11"/>
      <scheme val="minor"/>
    </font>
    <font>
      <name val="Calibri"/>
      <charset val="0"/>
      <b val="1"/>
      <color rgb="FF3F3F3F"/>
      <sz val="11"/>
      <scheme val="minor"/>
    </font>
    <font>
      <name val="Calibri"/>
      <charset val="0"/>
      <b val="1"/>
      <color theme="1"/>
      <sz val="11"/>
      <scheme val="minor"/>
    </font>
    <font>
      <name val="Calibri"/>
      <charset val="0"/>
      <color rgb="FF9C0006"/>
      <sz val="11"/>
      <scheme val="minor"/>
    </font>
    <font>
      <name val="Calibri"/>
      <charset val="0"/>
      <color rgb="FF9C6500"/>
      <sz val="11"/>
      <scheme val="minor"/>
    </font>
    <font>
      <name val="Calibri"/>
      <charset val="0"/>
      <color rgb="FF0000FF"/>
      <sz val="11"/>
      <u val="single"/>
      <scheme val="minor"/>
    </font>
    <font>
      <name val="Calibri"/>
      <charset val="0"/>
      <color rgb="FF006100"/>
      <sz val="11"/>
      <scheme val="minor"/>
    </font>
    <font>
      <name val="Calibri"/>
      <charset val="134"/>
      <b val="1"/>
      <color theme="3"/>
      <sz val="18"/>
      <scheme val="minor"/>
    </font>
    <font>
      <name val="Calibri"/>
      <charset val="0"/>
      <color rgb="FF800080"/>
      <sz val="11"/>
      <u val="single"/>
      <scheme val="minor"/>
    </font>
    <font>
      <name val="Calibri"/>
      <charset val="0"/>
      <color rgb="FFFA7D00"/>
      <sz val="11"/>
      <scheme val="minor"/>
    </font>
    <font>
      <name val="Calibri"/>
      <charset val="0"/>
      <b val="1"/>
      <color rgb="FFFA7D00"/>
      <sz val="11"/>
      <scheme val="minor"/>
    </font>
    <font>
      <name val="Calibri"/>
      <charset val="134"/>
      <b val="1"/>
      <color theme="3"/>
      <sz val="15"/>
      <scheme val="minor"/>
    </font>
    <font>
      <name val="Calibri"/>
      <charset val="134"/>
      <b val="1"/>
      <color theme="3"/>
      <sz val="11"/>
      <scheme val="minor"/>
    </font>
    <font>
      <name val="Calibri"/>
      <charset val="0"/>
      <i val="1"/>
      <color rgb="FF7F7F7F"/>
      <sz val="11"/>
      <scheme val="minor"/>
    </font>
    <font>
      <name val="Calibri"/>
      <b val="1"/>
      <color rgb="00003B7A"/>
      <sz val="16"/>
    </font>
    <font>
      <name val="Calibri"/>
      <color rgb="001A1A2E"/>
      <sz val="10"/>
    </font>
    <font>
      <name val="Calibri"/>
      <b val="1"/>
      <color rgb="0000274F"/>
      <sz val="12"/>
    </font>
    <font>
      <name val="Calibri"/>
      <b val="1"/>
      <color rgb="0000274F"/>
      <sz val="10"/>
    </font>
  </fonts>
  <fills count="38">
    <fill>
      <patternFill/>
    </fill>
    <fill>
      <patternFill patternType="gray125"/>
    </fill>
    <fill>
      <patternFill patternType="solid">
        <fgColor rgb="FF003B7A"/>
        <bgColor indexed="64"/>
      </patternFill>
    </fill>
    <fill>
      <patternFill patternType="solid">
        <fgColor rgb="FFFFF8E6"/>
        <bgColor indexed="64"/>
      </patternFill>
    </fill>
    <fill>
      <patternFill patternType="solid">
        <fgColor rgb="FFE8F0FB"/>
        <bgColor indexed="64"/>
      </patternFill>
    </fill>
    <fill>
      <patternFill patternType="solid">
        <fgColor theme="6" tint="0.399975585192419"/>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rgb="FFF2F2F2"/>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6"/>
        <bgColor indexed="64"/>
      </patternFill>
    </fill>
    <fill>
      <patternFill patternType="solid">
        <fgColor theme="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rgb="FFC6EFCE"/>
        <bgColor indexed="64"/>
      </patternFill>
    </fill>
    <fill>
      <patternFill patternType="solid">
        <fgColor theme="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7"/>
        <bgColor indexed="64"/>
      </patternFill>
    </fill>
    <fill>
      <patternFill patternType="solid">
        <fgColor theme="8"/>
        <bgColor indexed="64"/>
      </patternFill>
    </fill>
    <fill>
      <patternFill patternType="solid">
        <fgColor theme="9" tint="0.399975585192419"/>
        <bgColor indexed="64"/>
      </patternFill>
    </fill>
    <fill>
      <patternFill patternType="solid">
        <fgColor rgb="00E8F0FB"/>
      </patternFill>
    </fill>
    <fill>
      <patternFill patternType="solid">
        <fgColor rgb="00FFF8E6"/>
      </patternFill>
    </fill>
  </fills>
  <borders count="11">
    <border>
      <left/>
      <right/>
      <top/>
      <bottom/>
      <diagonal/>
    </border>
    <border>
      <left style="thin">
        <color rgb="FFC5D4E8"/>
      </left>
      <right style="thin">
        <color rgb="FFC5D4E8"/>
      </right>
      <top style="thin">
        <color rgb="FFC5D4E8"/>
      </top>
      <bottom style="thin">
        <color rgb="FFC5D4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
      <left style="thin">
        <color rgb="00C5D4E8"/>
      </left>
      <right style="thin">
        <color rgb="00C5D4E8"/>
      </right>
      <top style="thin">
        <color rgb="00C5D4E8"/>
      </top>
      <bottom style="thin">
        <color rgb="00C5D4E8"/>
      </bottom>
    </border>
  </borders>
  <cellStyleXfs count="49">
    <xf numFmtId="0" fontId="7" fillId="0" borderId="0"/>
    <xf numFmtId="0" fontId="8" fillId="35" borderId="0" applyAlignment="1">
      <alignment vertical="center"/>
    </xf>
    <xf numFmtId="0" fontId="12" fillId="32" borderId="0" applyAlignment="1">
      <alignment vertical="center"/>
    </xf>
    <xf numFmtId="0" fontId="8" fillId="26" borderId="0" applyAlignment="1">
      <alignment vertical="center"/>
    </xf>
    <xf numFmtId="0" fontId="8" fillId="24" borderId="0" applyAlignment="1">
      <alignment vertical="center"/>
    </xf>
    <xf numFmtId="0" fontId="12" fillId="30" borderId="0" applyAlignment="1">
      <alignment vertical="center"/>
    </xf>
    <xf numFmtId="0" fontId="12" fillId="28" borderId="0" applyAlignment="1">
      <alignment vertical="center"/>
    </xf>
    <xf numFmtId="0" fontId="8" fillId="25" borderId="0" applyAlignment="1">
      <alignment vertical="center"/>
    </xf>
    <xf numFmtId="0" fontId="8" fillId="34" borderId="0" applyAlignment="1">
      <alignment vertical="center"/>
    </xf>
    <xf numFmtId="0" fontId="12" fillId="27" borderId="0" applyAlignment="1">
      <alignment vertical="center"/>
    </xf>
    <xf numFmtId="0" fontId="8" fillId="33" borderId="0" applyAlignment="1">
      <alignment vertical="center"/>
    </xf>
    <xf numFmtId="0" fontId="22" fillId="0" borderId="8" applyAlignment="1">
      <alignment vertical="center"/>
    </xf>
    <xf numFmtId="0" fontId="12" fillId="16" borderId="0" applyAlignment="1">
      <alignment vertical="center"/>
    </xf>
    <xf numFmtId="0" fontId="8" fillId="31" borderId="0" applyAlignment="1">
      <alignment vertical="center"/>
    </xf>
    <xf numFmtId="0" fontId="8" fillId="19" borderId="0" applyAlignment="1">
      <alignment vertical="center"/>
    </xf>
    <xf numFmtId="0" fontId="12" fillId="22" borderId="0" applyAlignment="1">
      <alignment vertical="center"/>
    </xf>
    <xf numFmtId="0" fontId="12" fillId="29" borderId="0" applyAlignment="1">
      <alignment vertical="center"/>
    </xf>
    <xf numFmtId="0" fontId="8" fillId="20" borderId="0" applyAlignment="1">
      <alignment vertical="center"/>
    </xf>
    <xf numFmtId="0" fontId="12" fillId="17" borderId="0" applyAlignment="1">
      <alignment vertical="center"/>
    </xf>
    <xf numFmtId="0" fontId="12" fillId="15" borderId="0" applyAlignment="1">
      <alignment vertical="center"/>
    </xf>
    <xf numFmtId="0" fontId="8" fillId="6" borderId="0" applyAlignment="1">
      <alignment vertical="center"/>
    </xf>
    <xf numFmtId="0" fontId="17" fillId="14" borderId="0" applyAlignment="1">
      <alignment vertical="center"/>
    </xf>
    <xf numFmtId="0" fontId="8" fillId="18" borderId="0" applyAlignment="1">
      <alignment vertical="center"/>
    </xf>
    <xf numFmtId="0" fontId="16" fillId="13" borderId="0" applyAlignment="1">
      <alignment vertical="center"/>
    </xf>
    <xf numFmtId="0" fontId="12" fillId="21" borderId="0" applyAlignment="1">
      <alignment vertical="center"/>
    </xf>
    <xf numFmtId="0" fontId="15" fillId="0" borderId="7" applyAlignment="1">
      <alignment vertical="center"/>
    </xf>
    <xf numFmtId="0" fontId="14" fillId="12" borderId="6" applyAlignment="1">
      <alignment vertical="center"/>
    </xf>
    <xf numFmtId="44" fontId="7" fillId="0" borderId="0" applyAlignment="1">
      <alignment vertical="center"/>
    </xf>
    <xf numFmtId="0" fontId="12" fillId="10" borderId="0" applyAlignment="1">
      <alignment vertical="center"/>
    </xf>
    <xf numFmtId="0" fontId="7" fillId="7" borderId="2" applyAlignment="1">
      <alignment vertical="center"/>
    </xf>
    <xf numFmtId="0" fontId="11" fillId="8" borderId="4" applyAlignment="1">
      <alignment vertical="center"/>
    </xf>
    <xf numFmtId="0" fontId="25" fillId="0" borderId="0" applyAlignment="1">
      <alignment vertical="center"/>
    </xf>
    <xf numFmtId="0" fontId="23" fillId="12" borderId="4" applyAlignment="1">
      <alignment vertical="center"/>
    </xf>
    <xf numFmtId="0" fontId="19" fillId="23" borderId="0" applyAlignment="1">
      <alignment vertical="center"/>
    </xf>
    <xf numFmtId="0" fontId="25" fillId="0" borderId="9" applyAlignment="1">
      <alignment vertical="center"/>
    </xf>
    <xf numFmtId="0" fontId="26" fillId="0" borderId="0" applyAlignment="1">
      <alignment vertical="center"/>
    </xf>
    <xf numFmtId="0" fontId="24" fillId="0" borderId="3" applyAlignment="1">
      <alignment vertical="center"/>
    </xf>
    <xf numFmtId="165" fontId="7" fillId="0" borderId="0" applyAlignment="1">
      <alignment vertical="center"/>
    </xf>
    <xf numFmtId="0" fontId="12" fillId="9" borderId="0" applyAlignment="1">
      <alignment vertical="center"/>
    </xf>
    <xf numFmtId="0" fontId="20" fillId="0" borderId="0" applyAlignment="1">
      <alignment vertical="center"/>
    </xf>
    <xf numFmtId="42" fontId="7" fillId="0" borderId="0" applyAlignment="1">
      <alignment vertical="center"/>
    </xf>
    <xf numFmtId="0" fontId="10" fillId="0" borderId="0" applyAlignment="1">
      <alignment vertical="center"/>
    </xf>
    <xf numFmtId="0" fontId="21" fillId="0" borderId="0" applyAlignment="1">
      <alignment vertical="center"/>
    </xf>
    <xf numFmtId="0" fontId="9" fillId="0" borderId="3" applyAlignment="1">
      <alignment vertical="center"/>
    </xf>
    <xf numFmtId="166" fontId="7" fillId="0" borderId="0" applyAlignment="1">
      <alignment vertical="center"/>
    </xf>
    <xf numFmtId="0" fontId="13" fillId="11" borderId="5" applyAlignment="1">
      <alignment vertical="center"/>
    </xf>
    <xf numFmtId="0" fontId="8" fillId="5" borderId="0" applyAlignment="1">
      <alignment vertical="center"/>
    </xf>
    <xf numFmtId="9" fontId="7" fillId="0" borderId="0" applyAlignment="1">
      <alignment vertical="center"/>
    </xf>
    <xf numFmtId="0" fontId="18" fillId="0" borderId="0" applyAlignment="1">
      <alignment vertical="center"/>
    </xf>
  </cellStyleXfs>
  <cellXfs count="2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1" pivotButton="0" quotePrefix="0" xfId="0"/>
    <xf numFmtId="0" fontId="4" fillId="2" borderId="1" applyAlignment="1" pivotButton="0" quotePrefix="0" xfId="0">
      <alignment horizontal="center" vertical="center" wrapText="1"/>
    </xf>
    <xf numFmtId="9" fontId="5" fillId="3" borderId="1" applyAlignment="1" pivotButton="0" quotePrefix="0" xfId="0">
      <alignment horizontal="center" vertical="center" wrapText="1"/>
    </xf>
    <xf numFmtId="9" fontId="5" fillId="4" borderId="1" applyAlignment="1" pivotButton="0" quotePrefix="0" xfId="0">
      <alignment horizontal="center" vertical="center" wrapText="1"/>
    </xf>
    <xf numFmtId="0" fontId="6" fillId="0" borderId="0" applyAlignment="1" pivotButton="0" quotePrefix="0" xfId="0">
      <alignment horizontal="left" vertical="center"/>
    </xf>
    <xf numFmtId="0" fontId="5" fillId="4" borderId="1" applyAlignment="1" pivotButton="0" quotePrefix="0" xfId="0">
      <alignment horizontal="center" vertical="center" wrapText="1"/>
    </xf>
    <xf numFmtId="0" fontId="5" fillId="3" borderId="1" applyAlignment="1" pivotButton="0" quotePrefix="0" xfId="0">
      <alignment horizontal="left" vertical="center"/>
    </xf>
    <xf numFmtId="164" fontId="5" fillId="4"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left" vertical="center"/>
    </xf>
    <xf numFmtId="0" fontId="0" fillId="4" borderId="1" pivotButton="0" quotePrefix="0" xfId="0"/>
    <xf numFmtId="0" fontId="3" fillId="4" borderId="1" pivotButton="0" quotePrefix="0" xfId="0"/>
    <xf numFmtId="0" fontId="3" fillId="0" borderId="1" applyAlignment="1" pivotButton="0" quotePrefix="0" xfId="0">
      <alignment horizontal="left" vertical="top" wrapText="1"/>
    </xf>
    <xf numFmtId="0" fontId="5" fillId="0" borderId="1" applyAlignment="1" pivotButton="0" quotePrefix="0" xfId="0">
      <alignment horizontal="left" vertical="top" wrapText="1"/>
    </xf>
    <xf numFmtId="0" fontId="3" fillId="0" borderId="1" applyAlignment="1" pivotButton="0" quotePrefix="0" xfId="0">
      <alignment horizontal="left" vertical="center"/>
    </xf>
    <xf numFmtId="2" fontId="5" fillId="4" borderId="1" applyAlignment="1" pivotButton="0" quotePrefix="0" xfId="0">
      <alignment horizontal="center" vertical="center" wrapText="1"/>
    </xf>
    <xf numFmtId="0" fontId="5" fillId="0" borderId="0" applyAlignment="1" pivotButton="0" quotePrefix="0" xfId="0">
      <alignment vertical="top" wrapText="1"/>
    </xf>
    <xf numFmtId="0" fontId="27" fillId="0" borderId="0" applyAlignment="1" pivotButton="0" quotePrefix="0" xfId="0">
      <alignment horizontal="left" vertical="center"/>
    </xf>
    <xf numFmtId="0" fontId="28" fillId="0" borderId="0" applyAlignment="1" pivotButton="0" quotePrefix="0" xfId="0">
      <alignment vertical="top" wrapText="1"/>
    </xf>
    <xf numFmtId="0" fontId="29" fillId="0" borderId="0" applyAlignment="1" pivotButton="0" quotePrefix="0" xfId="0">
      <alignment horizontal="left" vertical="center"/>
    </xf>
    <xf numFmtId="0" fontId="30" fillId="36" borderId="10" applyAlignment="1" pivotButton="0" quotePrefix="0" xfId="0">
      <alignment horizontal="left" vertical="center"/>
    </xf>
    <xf numFmtId="0" fontId="28" fillId="36" borderId="10" applyAlignment="1" pivotButton="0" quotePrefix="0" xfId="0">
      <alignment vertical="top" wrapText="1"/>
    </xf>
    <xf numFmtId="0" fontId="30" fillId="0" borderId="0" applyAlignment="1" pivotButton="0" quotePrefix="0" xfId="0">
      <alignment horizontal="left" vertical="center"/>
    </xf>
    <xf numFmtId="0" fontId="28" fillId="37" borderId="10" applyAlignment="1" pivotButton="0" quotePrefix="0" xfId="0">
      <alignment horizontal="left" vertical="center"/>
    </xf>
    <xf numFmtId="0" fontId="28" fillId="36" borderId="10" applyAlignment="1" pivotButton="0" quotePrefix="0" xfId="0">
      <alignment horizontal="left" vertical="center"/>
    </xf>
    <xf numFmtId="164" fontId="5" fillId="4" borderId="1" applyAlignment="1" pivotButton="0" quotePrefix="0" xfId="0">
      <alignment horizontal="center"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1">
    <dxf>
      <font>
        <b val="1"/>
        <color rgb="FFB00020"/>
      </font>
      <fill>
        <patternFill patternType="solid">
          <fgColor rgb="FF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34"/>
  <sheetViews>
    <sheetView showGridLines="0" workbookViewId="0">
      <selection activeCell="A1" sqref="A1"/>
    </sheetView>
  </sheetViews>
  <sheetFormatPr baseColWidth="8" defaultRowHeight="15"/>
  <cols>
    <col width="95" customWidth="1" min="1" max="1"/>
    <col width="20" customWidth="1" min="2" max="2"/>
  </cols>
  <sheetData>
    <row r="1">
      <c r="A1" s="20" t="inlineStr">
        <is>
          <t>Petunjuk Penggunaan Rubrik</t>
        </is>
      </c>
    </row>
    <row r="3">
      <c r="A3" s="21" t="inlineStr">
        <is>
          <t>Rubrik ini digunakan untuk menilai tim dan mahasiswa pada mata kuliah Pemrograman Web Lanjut (SIB Semester 5), mengikuti 4 checkpoint PBL: Proposal, Milestone 1, Milestone 2, dan Final.</t>
        </is>
      </c>
    </row>
    <row r="5">
      <c r="A5" s="21" t="inlineStr">
        <is>
          <t>Ada dua sudut pandang penilaian pada setiap checkpoint:</t>
        </is>
      </c>
    </row>
    <row r="6">
      <c r="A6" s="21" t="inlineStr">
        <is>
          <t>- Sudut pandang tim: rubrik tim dinilai satu kali per tim, mengukur kualitas hasil kerja tim (produk, dokumen, demo). Nilai ini menjadi dasar nilai seluruh anggota tim.</t>
        </is>
      </c>
    </row>
    <row r="7">
      <c r="A7" s="21" t="inlineStr">
        <is>
          <t>- Sudut pandang individu: rubrik individu dinilai satu kali per mahasiswa, mengukur kontribusi teknis, kedisiplinan, kolaborasi, dan penguasaan materi masing-masing anggota.</t>
        </is>
      </c>
    </row>
    <row r="8">
      <c r="A8" s="21" t="inlineStr">
        <is>
          <t>Nilai akhir mahasiswa menggabungkan kedua sudut pandang tersebut, bukan hanya nilai tim.</t>
        </is>
      </c>
    </row>
    <row r="10">
      <c r="A10" s="21" t="inlineStr">
        <is>
          <t>1. Buka sheet Rekap, isi nama tim pada bagian "Rekap Nilai Tim" dan data mahasiswa pada bagian "Rekap Nilai Mahasiswa" (pilih nama tim dari daftar dropdown).</t>
        </is>
      </c>
    </row>
    <row r="11">
      <c r="A11" s="21" t="inlineStr">
        <is>
          <t>2. Buka sheet Proposal, Milestone 1, Milestone 2, dan Final secara bergantian sesuai jadwal checkpoint.</t>
        </is>
      </c>
    </row>
    <row r="12">
      <c r="A12" s="21" t="inlineStr">
        <is>
          <t>3. Pada bagian "Penilaian Tim" di setiap sheet, isi skor 1 sampai 5 untuk setiap kriteria di baris tim yang sesuai. Kolom "Nilai (0-100)" terisi otomatis begitu seluruh kriteria pada baris tersebut terisi.</t>
        </is>
      </c>
    </row>
    <row r="13">
      <c r="A13" s="21" t="inlineStr">
        <is>
          <t>4. Pada bagian "Penilaian Individu" di setiap sheet, isi skor 1 sampai 5 untuk setiap mahasiswa. Kolom "Nilai Individu (0-100)" terisi otomatis begitu seluruh kriteria pada baris tersebut terisi.</t>
        </is>
      </c>
    </row>
    <row r="14">
      <c r="A14" s="21" t="inlineStr">
        <is>
          <t>5. Rubrik acuan (deskripsi setiap level skor 1-5) ada di bagian bawah setiap sheet checkpoint, sebagai referensi saat memberi skor. Lihat juga "Skala Penilaian Umum" di bawah untuk panduan umum sebelum membaca deskripsi rinci tiap kriteria.</t>
        </is>
      </c>
    </row>
    <row r="15">
      <c r="A15" s="21" t="inlineStr">
        <is>
          <t>6. Bobot tiap kriteria tim dapat disesuaikan pada tabel Rubrik Acuan Penilaian Tim; bobot kriteria individu dianggap setara sehingga tidak memiliki kolom bobot.</t>
        </is>
      </c>
    </row>
    <row r="16">
      <c r="A16" s="21" t="inlineStr">
        <is>
          <t>7. Kembali ke sheet Rekap untuk melihat Nilai Akhir Tim (gabungan 4 checkpoint) dan Nilai Akhir Mahasiswa (gabungan nilai tim dan nilai individu sesuai Porsi Nilai Akhir).</t>
        </is>
      </c>
    </row>
    <row r="17">
      <c r="A17" s="21" t="inlineStr">
        <is>
          <t>8. Bobot antar checkpoint dan Porsi Nilai Akhir (tim dibanding individu, default 30:70) dapat diubah pada bagian atas sheet Rekap.</t>
        </is>
      </c>
    </row>
    <row r="19">
      <c r="A19" s="22" t="inlineStr">
        <is>
          <t>Skala Penilaian Umum (Skor 1-5)</t>
        </is>
      </c>
    </row>
    <row r="20">
      <c r="A20" s="21" t="inlineStr">
        <is>
          <t>Gunakan skala umum berikut sebagai acuan awal saat menentukan skor. Skala ini melengkapi, bukan menggantikan, deskripsi rinci pada tabel Rubrik Acuan di bagian bawah setiap sheet checkpoint.</t>
        </is>
      </c>
    </row>
    <row r="21" ht="30" customHeight="1">
      <c r="A21" s="23" t="inlineStr">
        <is>
          <t>Skor 1 - Sangat Kurang</t>
        </is>
      </c>
      <c r="B21" s="24" t="inlineStr">
        <is>
          <t>Tidak ada bukti kerja, atau hasil kerja tidak berfungsi/tidak sesuai sama sekali dengan yang diminta kriteria.</t>
        </is>
      </c>
    </row>
    <row r="22" ht="30" customHeight="1">
      <c r="A22" s="23" t="inlineStr">
        <is>
          <t>Skor 2 - Kurang</t>
        </is>
      </c>
      <c r="B22" s="24" t="inlineStr">
        <is>
          <t>Ada bukti kerja namun sebagian besar aspek penting pada kriteria belum terpenuhi.</t>
        </is>
      </c>
    </row>
    <row r="23" ht="30" customHeight="1">
      <c r="A23" s="23" t="inlineStr">
        <is>
          <t>Skor 3 - Cukup</t>
        </is>
      </c>
      <c r="B23" s="24" t="inlineStr">
        <is>
          <t>Sebagian besar aspek pada kriteria terpenuhi, namun masih ada kekurangan yang cukup berarti.</t>
        </is>
      </c>
    </row>
    <row r="24" ht="30" customHeight="1">
      <c r="A24" s="23" t="inlineStr">
        <is>
          <t>Skor 4 - Baik</t>
        </is>
      </c>
      <c r="B24" s="24" t="inlineStr">
        <is>
          <t>Hampir seluruh aspek pada kriteria terpenuhi dengan baik, hanya kekurangan kecil yang mudah diperbaiki.</t>
        </is>
      </c>
    </row>
    <row r="25" ht="30" customHeight="1">
      <c r="A25" s="23" t="inlineStr">
        <is>
          <t>Skor 5 - Sangat Baik</t>
        </is>
      </c>
      <c r="B25" s="24" t="inlineStr">
        <is>
          <t>Seluruh aspek pada kriteria terpenuhi dengan baik, sesuai atau melebihi standar yang diharapkan.</t>
        </is>
      </c>
    </row>
    <row r="27">
      <c r="A27" s="25" t="inlineStr">
        <is>
          <t>Cara memberi skor secara objektif:</t>
        </is>
      </c>
    </row>
    <row r="28">
      <c r="A28" s="21" t="inlineStr">
        <is>
          <t>- Bandingkan bukti kerja (dokumen, kode, hasil demo, atau laporan) dengan deskripsi tiap level pada tabel Rubrik Acuan, bukan dengan kesan umum terhadap tim atau mahasiswa.</t>
        </is>
      </c>
    </row>
    <row r="29">
      <c r="A29" s="21" t="inlineStr">
        <is>
          <t>- Pilih level yang deskripsinya paling sesuai dengan bukti yang benar-benar teramati, bukan dengan potensi atau usaha yang direncanakan.</t>
        </is>
      </c>
    </row>
    <row r="30">
      <c r="A30" s="21" t="inlineStr">
        <is>
          <t>- Jika bukti kerja berada di antara dua level, pilih level yang lebih rendah kecuali sebagian besar ciri level yang lebih tinggi sudah terpenuhi.</t>
        </is>
      </c>
    </row>
    <row r="31">
      <c r="A31" s="21" t="inlineStr">
        <is>
          <t>- Gunakan patokan deskripsi yang sama untuk seluruh tim atau mahasiswa pada checkpoint yang sama, agar penilaian tetap konsisten walau diperiksa oleh dosen yang berbeda.</t>
        </is>
      </c>
    </row>
    <row r="33" ht="30" customHeight="1">
      <c r="A33" s="26" t="inlineStr">
        <is>
          <t>Sel input (diisi manual)</t>
        </is>
      </c>
    </row>
    <row r="34" ht="30" customHeight="1">
      <c r="A34" s="27" t="inlineStr">
        <is>
          <t>Sel hasil hitung otomatis (jangan diubah)</t>
        </is>
      </c>
    </row>
  </sheetData>
  <mergeCells count="21">
    <mergeCell ref="A30:B30"/>
    <mergeCell ref="A15:B15"/>
    <mergeCell ref="A11:B11"/>
    <mergeCell ref="A1:B1"/>
    <mergeCell ref="A6:B6"/>
    <mergeCell ref="A16:B16"/>
    <mergeCell ref="A7:B7"/>
    <mergeCell ref="A27:B27"/>
    <mergeCell ref="A3:B3"/>
    <mergeCell ref="A12:B12"/>
    <mergeCell ref="A5:B5"/>
    <mergeCell ref="A14:B14"/>
    <mergeCell ref="A17:B17"/>
    <mergeCell ref="A8:B8"/>
    <mergeCell ref="A20:B20"/>
    <mergeCell ref="A29:B29"/>
    <mergeCell ref="A19:B19"/>
    <mergeCell ref="A10:B10"/>
    <mergeCell ref="A28:B28"/>
    <mergeCell ref="A13:B13"/>
    <mergeCell ref="A31:B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3"/>
  <sheetViews>
    <sheetView showGridLines="0" workbookViewId="0">
      <pane xSplit="1" ySplit="6" topLeftCell="B7" activePane="bottomRight" state="frozen"/>
      <selection activeCell="A1" sqref="A1"/>
      <selection pane="topRight" activeCell="A1" sqref="A1"/>
      <selection pane="bottomLeft" activeCell="A1" sqref="A1"/>
      <selection pane="bottomRight" activeCell="A1" sqref="A1:H1"/>
    </sheetView>
  </sheetViews>
  <sheetFormatPr baseColWidth="8" defaultColWidth="9" defaultRowHeight="15"/>
  <cols>
    <col width="26" customWidth="1" min="1" max="2"/>
    <col width="30" customWidth="1" min="3" max="7"/>
    <col width="16" customWidth="1" min="8" max="8"/>
  </cols>
  <sheetData>
    <row r="1" ht="21" customHeight="1">
      <c r="A1" s="1" t="inlineStr">
        <is>
          <t>Rubrik Penilaian - Checkpoint Proposal (Minggu 4)</t>
        </is>
      </c>
    </row>
    <row r="2">
      <c r="A2" s="2" t="inlineStr">
        <is>
          <t>Nilai tim dan nilai individu diisi di bawah ini; rubrik acuan skor 1-5 ada di bagian bawah sheet ini.</t>
        </is>
      </c>
    </row>
    <row r="4" ht="15.75" customHeight="1">
      <c r="A4" s="7" t="inlineStr">
        <is>
          <t>Penilaian Tim (skor 1-5 per kriteria)</t>
        </is>
      </c>
    </row>
    <row r="5">
      <c r="A5" s="3" t="inlineStr">
        <is>
          <t>Bobot (acuan)</t>
        </is>
      </c>
      <c r="B5" s="6">
        <f>B51</f>
        <v/>
      </c>
      <c r="C5" s="6">
        <f>B52</f>
        <v/>
      </c>
      <c r="D5" s="6">
        <f>B53</f>
        <v/>
      </c>
      <c r="E5" s="6">
        <f>B54</f>
        <v/>
      </c>
      <c r="F5" s="6">
        <f>B55</f>
        <v/>
      </c>
      <c r="G5" s="13" t="n"/>
      <c r="H5" s="13" t="n"/>
    </row>
    <row r="6" ht="25.5" customHeight="1">
      <c r="A6" s="4" t="inlineStr">
        <is>
          <t>Nama Tim</t>
        </is>
      </c>
      <c r="B6" s="4" t="inlineStr">
        <is>
          <t>Pembentukan Tim dan Pembagian Peran</t>
        </is>
      </c>
      <c r="C6" s="4" t="inlineStr">
        <is>
          <t>Eksplorasi dan Pemilihan Domain Bisnis</t>
        </is>
      </c>
      <c r="D6" s="4" t="inlineStr">
        <is>
          <t>Kejelasan Masalah dan Kebutuhan Pengguna</t>
        </is>
      </c>
      <c r="E6" s="4" t="inlineStr">
        <is>
          <t>Rancangan Model Data dan Daftar Fitur Awal (SCPMK0202-04001/04004)</t>
        </is>
      </c>
      <c r="F6" s="4" t="inlineStr">
        <is>
          <t>Kualitas Dokumen Proposal</t>
        </is>
      </c>
      <c r="G6" s="4" t="inlineStr">
        <is>
          <t>Rata Tertimbang (1-5)</t>
        </is>
      </c>
      <c r="H6" s="4" t="inlineStr">
        <is>
          <t>Nilai (0-100)</t>
        </is>
      </c>
    </row>
    <row r="7">
      <c r="A7" s="12">
        <f>Rekap!$B$12</f>
        <v/>
      </c>
      <c r="B7" s="11" t="n"/>
      <c r="C7" s="11" t="n"/>
      <c r="D7" s="11" t="n"/>
      <c r="E7" s="11" t="n"/>
      <c r="F7" s="11" t="n"/>
      <c r="G7" s="18">
        <f>IF(COUNT(B7:F7)&lt;5,"",SUMPRODUCT(B7:F7,B$5:F$5)/SUM(B$5:F$5))</f>
        <v/>
      </c>
      <c r="H7" s="28">
        <f>IF(G7="","",G7/5*100)</f>
        <v/>
      </c>
    </row>
    <row r="8">
      <c r="A8" s="12">
        <f>Rekap!$B$13</f>
        <v/>
      </c>
      <c r="B8" s="11" t="n"/>
      <c r="C8" s="11" t="n"/>
      <c r="D8" s="11" t="n"/>
      <c r="E8" s="11" t="n"/>
      <c r="F8" s="11" t="n"/>
      <c r="G8" s="18">
        <f>IF(COUNT(B8:F8)&lt;5,"",SUMPRODUCT(B8:F8,B$5:F$5)/SUM(B$5:F$5))</f>
        <v/>
      </c>
      <c r="H8" s="28">
        <f>IF(G8="","",G8/5*100)</f>
        <v/>
      </c>
    </row>
    <row r="9">
      <c r="A9" s="12">
        <f>Rekap!$B$14</f>
        <v/>
      </c>
      <c r="B9" s="11" t="n"/>
      <c r="C9" s="11" t="n"/>
      <c r="D9" s="11" t="n"/>
      <c r="E9" s="11" t="n"/>
      <c r="F9" s="11" t="n"/>
      <c r="G9" s="18">
        <f>IF(COUNT(B9:F9)&lt;5,"",SUMPRODUCT(B9:F9,B$5:F$5)/SUM(B$5:F$5))</f>
        <v/>
      </c>
      <c r="H9" s="28">
        <f>IF(G9="","",G9/5*100)</f>
        <v/>
      </c>
    </row>
    <row r="10">
      <c r="A10" s="12">
        <f>Rekap!$B$15</f>
        <v/>
      </c>
      <c r="B10" s="11" t="n"/>
      <c r="C10" s="11" t="n"/>
      <c r="D10" s="11" t="n"/>
      <c r="E10" s="11" t="n"/>
      <c r="F10" s="11" t="n"/>
      <c r="G10" s="18">
        <f>IF(COUNT(B10:F10)&lt;5,"",SUMPRODUCT(B10:F10,B$5:F$5)/SUM(B$5:F$5))</f>
        <v/>
      </c>
      <c r="H10" s="28">
        <f>IF(G10="","",G10/5*100)</f>
        <v/>
      </c>
    </row>
    <row r="11">
      <c r="A11" s="12">
        <f>Rekap!$B$16</f>
        <v/>
      </c>
      <c r="B11" s="11" t="n"/>
      <c r="C11" s="11" t="n"/>
      <c r="D11" s="11" t="n"/>
      <c r="E11" s="11" t="n"/>
      <c r="F11" s="11" t="n"/>
      <c r="G11" s="18">
        <f>IF(COUNT(B11:F11)&lt;5,"",SUMPRODUCT(B11:F11,B$5:F$5)/SUM(B$5:F$5))</f>
        <v/>
      </c>
      <c r="H11" s="28">
        <f>IF(G11="","",G11/5*100)</f>
        <v/>
      </c>
    </row>
    <row r="12">
      <c r="A12" s="12">
        <f>Rekap!$B$17</f>
        <v/>
      </c>
      <c r="B12" s="11" t="n"/>
      <c r="C12" s="11" t="n"/>
      <c r="D12" s="11" t="n"/>
      <c r="E12" s="11" t="n"/>
      <c r="F12" s="11" t="n"/>
      <c r="G12" s="18">
        <f>IF(COUNT(B12:F12)&lt;5,"",SUMPRODUCT(B12:F12,B$5:F$5)/SUM(B$5:F$5))</f>
        <v/>
      </c>
      <c r="H12" s="28">
        <f>IF(G12="","",G12/5*100)</f>
        <v/>
      </c>
    </row>
    <row r="13">
      <c r="A13" s="3" t="inlineStr">
        <is>
          <t>Rata-rata Kelas</t>
        </is>
      </c>
      <c r="B13" s="13" t="n"/>
      <c r="C13" s="13" t="n"/>
      <c r="D13" s="13" t="n"/>
      <c r="E13" s="13" t="n"/>
      <c r="F13" s="13" t="n"/>
      <c r="G13" s="13" t="n"/>
      <c r="H13" s="28">
        <f>IFERROR(AVERAGE(H7:H12),"")</f>
        <v/>
      </c>
    </row>
    <row r="15" ht="15.75" customHeight="1">
      <c r="A15" s="7" t="inlineStr">
        <is>
          <t>Penilaian Individu (skor 1-5 per kriteria)</t>
        </is>
      </c>
    </row>
    <row r="16">
      <c r="A16" s="4" t="inlineStr">
        <is>
          <t>No</t>
        </is>
      </c>
      <c r="B16" s="4" t="inlineStr">
        <is>
          <t>Nama Mahasiswa</t>
        </is>
      </c>
      <c r="C16" s="4" t="inlineStr">
        <is>
          <t>Tim</t>
        </is>
      </c>
      <c r="D16" s="4" t="inlineStr">
        <is>
          <t>Kontribusi Teknis</t>
        </is>
      </c>
      <c r="E16" s="4" t="inlineStr">
        <is>
          <t>Kedisiplinan dan Tanggung Jawab</t>
        </is>
      </c>
      <c r="F16" s="4" t="inlineStr">
        <is>
          <t>Kolaborasi dalam Tim</t>
        </is>
      </c>
      <c r="G16" s="4" t="inlineStr">
        <is>
          <t>Penguasaan Materi Produk</t>
        </is>
      </c>
      <c r="H16" s="4" t="inlineStr">
        <is>
          <t>Nilai Individu (0-100)</t>
        </is>
      </c>
    </row>
    <row r="17">
      <c r="A17" s="8" t="n">
        <v>1</v>
      </c>
      <c r="B17" s="12">
        <f>IF(Rekap!$B$21="","",Rekap!$B$21)</f>
        <v/>
      </c>
      <c r="C17" s="12">
        <f>IF(Rekap!$D$21="","",Rekap!$D$21)</f>
        <v/>
      </c>
      <c r="D17" s="11" t="n"/>
      <c r="E17" s="11" t="n"/>
      <c r="F17" s="11" t="n"/>
      <c r="G17" s="11" t="n"/>
      <c r="H17" s="28">
        <f>IF(COUNT(D17:G17)&lt;4,"",AVERAGE(D17:G17)/5*100)</f>
        <v/>
      </c>
    </row>
    <row r="18">
      <c r="A18" s="8" t="n">
        <v>2</v>
      </c>
      <c r="B18" s="12">
        <f>IF(Rekap!$B$22="","",Rekap!$B$22)</f>
        <v/>
      </c>
      <c r="C18" s="12">
        <f>IF(Rekap!$D$22="","",Rekap!$D$22)</f>
        <v/>
      </c>
      <c r="D18" s="11" t="n"/>
      <c r="E18" s="11" t="n"/>
      <c r="F18" s="11" t="n"/>
      <c r="G18" s="11" t="n"/>
      <c r="H18" s="28">
        <f>IF(COUNT(D18:G18)&lt;4,"",AVERAGE(D18:G18)/5*100)</f>
        <v/>
      </c>
    </row>
    <row r="19">
      <c r="A19" s="8" t="n">
        <v>3</v>
      </c>
      <c r="B19" s="12">
        <f>IF(Rekap!$B$23="","",Rekap!$B$23)</f>
        <v/>
      </c>
      <c r="C19" s="12">
        <f>IF(Rekap!$D$23="","",Rekap!$D$23)</f>
        <v/>
      </c>
      <c r="D19" s="11" t="n"/>
      <c r="E19" s="11" t="n"/>
      <c r="F19" s="11" t="n"/>
      <c r="G19" s="11" t="n"/>
      <c r="H19" s="28">
        <f>IF(COUNT(D19:G19)&lt;4,"",AVERAGE(D19:G19)/5*100)</f>
        <v/>
      </c>
    </row>
    <row r="20">
      <c r="A20" s="8" t="n">
        <v>4</v>
      </c>
      <c r="B20" s="12">
        <f>IF(Rekap!$B$24="","",Rekap!$B$24)</f>
        <v/>
      </c>
      <c r="C20" s="12">
        <f>IF(Rekap!$D$24="","",Rekap!$D$24)</f>
        <v/>
      </c>
      <c r="D20" s="11" t="n"/>
      <c r="E20" s="11" t="n"/>
      <c r="F20" s="11" t="n"/>
      <c r="G20" s="11" t="n"/>
      <c r="H20" s="28">
        <f>IF(COUNT(D20:G20)&lt;4,"",AVERAGE(D20:G20)/5*100)</f>
        <v/>
      </c>
    </row>
    <row r="21">
      <c r="A21" s="8" t="n">
        <v>5</v>
      </c>
      <c r="B21" s="12">
        <f>IF(Rekap!$B$25="","",Rekap!$B$25)</f>
        <v/>
      </c>
      <c r="C21" s="12">
        <f>IF(Rekap!$D$25="","",Rekap!$D$25)</f>
        <v/>
      </c>
      <c r="D21" s="11" t="n"/>
      <c r="E21" s="11" t="n"/>
      <c r="F21" s="11" t="n"/>
      <c r="G21" s="11" t="n"/>
      <c r="H21" s="28">
        <f>IF(COUNT(D21:G21)&lt;4,"",AVERAGE(D21:G21)/5*100)</f>
        <v/>
      </c>
    </row>
    <row r="22">
      <c r="A22" s="8" t="n">
        <v>6</v>
      </c>
      <c r="B22" s="12">
        <f>IF(Rekap!$B$26="","",Rekap!$B$26)</f>
        <v/>
      </c>
      <c r="C22" s="12">
        <f>IF(Rekap!$D$26="","",Rekap!$D$26)</f>
        <v/>
      </c>
      <c r="D22" s="11" t="n"/>
      <c r="E22" s="11" t="n"/>
      <c r="F22" s="11" t="n"/>
      <c r="G22" s="11" t="n"/>
      <c r="H22" s="28">
        <f>IF(COUNT(D22:G22)&lt;4,"",AVERAGE(D22:G22)/5*100)</f>
        <v/>
      </c>
    </row>
    <row r="23">
      <c r="A23" s="8" t="n">
        <v>7</v>
      </c>
      <c r="B23" s="12">
        <f>IF(Rekap!$B$27="","",Rekap!$B$27)</f>
        <v/>
      </c>
      <c r="C23" s="12">
        <f>IF(Rekap!$D$27="","",Rekap!$D$27)</f>
        <v/>
      </c>
      <c r="D23" s="11" t="n"/>
      <c r="E23" s="11" t="n"/>
      <c r="F23" s="11" t="n"/>
      <c r="G23" s="11" t="n"/>
      <c r="H23" s="28">
        <f>IF(COUNT(D23:G23)&lt;4,"",AVERAGE(D23:G23)/5*100)</f>
        <v/>
      </c>
    </row>
    <row r="24">
      <c r="A24" s="8" t="n">
        <v>8</v>
      </c>
      <c r="B24" s="12">
        <f>IF(Rekap!$B$28="","",Rekap!$B$28)</f>
        <v/>
      </c>
      <c r="C24" s="12">
        <f>IF(Rekap!$D$28="","",Rekap!$D$28)</f>
        <v/>
      </c>
      <c r="D24" s="11" t="n"/>
      <c r="E24" s="11" t="n"/>
      <c r="F24" s="11" t="n"/>
      <c r="G24" s="11" t="n"/>
      <c r="H24" s="28">
        <f>IF(COUNT(D24:G24)&lt;4,"",AVERAGE(D24:G24)/5*100)</f>
        <v/>
      </c>
    </row>
    <row r="25">
      <c r="A25" s="8" t="n">
        <v>9</v>
      </c>
      <c r="B25" s="12">
        <f>IF(Rekap!$B$29="","",Rekap!$B$29)</f>
        <v/>
      </c>
      <c r="C25" s="12">
        <f>IF(Rekap!$D$29="","",Rekap!$D$29)</f>
        <v/>
      </c>
      <c r="D25" s="11" t="n"/>
      <c r="E25" s="11" t="n"/>
      <c r="F25" s="11" t="n"/>
      <c r="G25" s="11" t="n"/>
      <c r="H25" s="28">
        <f>IF(COUNT(D25:G25)&lt;4,"",AVERAGE(D25:G25)/5*100)</f>
        <v/>
      </c>
    </row>
    <row r="26">
      <c r="A26" s="8" t="n">
        <v>10</v>
      </c>
      <c r="B26" s="12">
        <f>IF(Rekap!$B$30="","",Rekap!$B$30)</f>
        <v/>
      </c>
      <c r="C26" s="12">
        <f>IF(Rekap!$D$30="","",Rekap!$D$30)</f>
        <v/>
      </c>
      <c r="D26" s="11" t="n"/>
      <c r="E26" s="11" t="n"/>
      <c r="F26" s="11" t="n"/>
      <c r="G26" s="11" t="n"/>
      <c r="H26" s="28">
        <f>IF(COUNT(D26:G26)&lt;4,"",AVERAGE(D26:G26)/5*100)</f>
        <v/>
      </c>
    </row>
    <row r="27">
      <c r="A27" s="8" t="n">
        <v>11</v>
      </c>
      <c r="B27" s="12">
        <f>IF(Rekap!$B$31="","",Rekap!$B$31)</f>
        <v/>
      </c>
      <c r="C27" s="12">
        <f>IF(Rekap!$D$31="","",Rekap!$D$31)</f>
        <v/>
      </c>
      <c r="D27" s="11" t="n"/>
      <c r="E27" s="11" t="n"/>
      <c r="F27" s="11" t="n"/>
      <c r="G27" s="11" t="n"/>
      <c r="H27" s="28">
        <f>IF(COUNT(D27:G27)&lt;4,"",AVERAGE(D27:G27)/5*100)</f>
        <v/>
      </c>
    </row>
    <row r="28">
      <c r="A28" s="8" t="n">
        <v>12</v>
      </c>
      <c r="B28" s="12">
        <f>IF(Rekap!$B$32="","",Rekap!$B$32)</f>
        <v/>
      </c>
      <c r="C28" s="12">
        <f>IF(Rekap!$D$32="","",Rekap!$D$32)</f>
        <v/>
      </c>
      <c r="D28" s="11" t="n"/>
      <c r="E28" s="11" t="n"/>
      <c r="F28" s="11" t="n"/>
      <c r="G28" s="11" t="n"/>
      <c r="H28" s="28">
        <f>IF(COUNT(D28:G28)&lt;4,"",AVERAGE(D28:G28)/5*100)</f>
        <v/>
      </c>
    </row>
    <row r="29">
      <c r="A29" s="8" t="n">
        <v>13</v>
      </c>
      <c r="B29" s="12">
        <f>IF(Rekap!$B$33="","",Rekap!$B$33)</f>
        <v/>
      </c>
      <c r="C29" s="12">
        <f>IF(Rekap!$D$33="","",Rekap!$D$33)</f>
        <v/>
      </c>
      <c r="D29" s="11" t="n"/>
      <c r="E29" s="11" t="n"/>
      <c r="F29" s="11" t="n"/>
      <c r="G29" s="11" t="n"/>
      <c r="H29" s="28">
        <f>IF(COUNT(D29:G29)&lt;4,"",AVERAGE(D29:G29)/5*100)</f>
        <v/>
      </c>
    </row>
    <row r="30">
      <c r="A30" s="8" t="n">
        <v>14</v>
      </c>
      <c r="B30" s="12">
        <f>IF(Rekap!$B$34="","",Rekap!$B$34)</f>
        <v/>
      </c>
      <c r="C30" s="12">
        <f>IF(Rekap!$D$34="","",Rekap!$D$34)</f>
        <v/>
      </c>
      <c r="D30" s="11" t="n"/>
      <c r="E30" s="11" t="n"/>
      <c r="F30" s="11" t="n"/>
      <c r="G30" s="11" t="n"/>
      <c r="H30" s="28">
        <f>IF(COUNT(D30:G30)&lt;4,"",AVERAGE(D30:G30)/5*100)</f>
        <v/>
      </c>
    </row>
    <row r="31">
      <c r="A31" s="8" t="n">
        <v>15</v>
      </c>
      <c r="B31" s="12">
        <f>IF(Rekap!$B$35="","",Rekap!$B$35)</f>
        <v/>
      </c>
      <c r="C31" s="12">
        <f>IF(Rekap!$D$35="","",Rekap!$D$35)</f>
        <v/>
      </c>
      <c r="D31" s="11" t="n"/>
      <c r="E31" s="11" t="n"/>
      <c r="F31" s="11" t="n"/>
      <c r="G31" s="11" t="n"/>
      <c r="H31" s="28">
        <f>IF(COUNT(D31:G31)&lt;4,"",AVERAGE(D31:G31)/5*100)</f>
        <v/>
      </c>
    </row>
    <row r="32">
      <c r="A32" s="8" t="n">
        <v>16</v>
      </c>
      <c r="B32" s="12">
        <f>IF(Rekap!$B$36="","",Rekap!$B$36)</f>
        <v/>
      </c>
      <c r="C32" s="12">
        <f>IF(Rekap!$D$36="","",Rekap!$D$36)</f>
        <v/>
      </c>
      <c r="D32" s="11" t="n"/>
      <c r="E32" s="11" t="n"/>
      <c r="F32" s="11" t="n"/>
      <c r="G32" s="11" t="n"/>
      <c r="H32" s="28">
        <f>IF(COUNT(D32:G32)&lt;4,"",AVERAGE(D32:G32)/5*100)</f>
        <v/>
      </c>
    </row>
    <row r="33">
      <c r="A33" s="8" t="n">
        <v>17</v>
      </c>
      <c r="B33" s="12">
        <f>IF(Rekap!$B$37="","",Rekap!$B$37)</f>
        <v/>
      </c>
      <c r="C33" s="12">
        <f>IF(Rekap!$D$37="","",Rekap!$D$37)</f>
        <v/>
      </c>
      <c r="D33" s="11" t="n"/>
      <c r="E33" s="11" t="n"/>
      <c r="F33" s="11" t="n"/>
      <c r="G33" s="11" t="n"/>
      <c r="H33" s="28">
        <f>IF(COUNT(D33:G33)&lt;4,"",AVERAGE(D33:G33)/5*100)</f>
        <v/>
      </c>
    </row>
    <row r="34">
      <c r="A34" s="8" t="n">
        <v>18</v>
      </c>
      <c r="B34" s="12">
        <f>IF(Rekap!$B$38="","",Rekap!$B$38)</f>
        <v/>
      </c>
      <c r="C34" s="12">
        <f>IF(Rekap!$D$38="","",Rekap!$D$38)</f>
        <v/>
      </c>
      <c r="D34" s="11" t="n"/>
      <c r="E34" s="11" t="n"/>
      <c r="F34" s="11" t="n"/>
      <c r="G34" s="11" t="n"/>
      <c r="H34" s="28">
        <f>IF(COUNT(D34:G34)&lt;4,"",AVERAGE(D34:G34)/5*100)</f>
        <v/>
      </c>
    </row>
    <row r="35">
      <c r="A35" s="8" t="n">
        <v>19</v>
      </c>
      <c r="B35" s="12">
        <f>IF(Rekap!$B$39="","",Rekap!$B$39)</f>
        <v/>
      </c>
      <c r="C35" s="12">
        <f>IF(Rekap!$D$39="","",Rekap!$D$39)</f>
        <v/>
      </c>
      <c r="D35" s="11" t="n"/>
      <c r="E35" s="11" t="n"/>
      <c r="F35" s="11" t="n"/>
      <c r="G35" s="11" t="n"/>
      <c r="H35" s="28">
        <f>IF(COUNT(D35:G35)&lt;4,"",AVERAGE(D35:G35)/5*100)</f>
        <v/>
      </c>
    </row>
    <row r="36">
      <c r="A36" s="8" t="n">
        <v>20</v>
      </c>
      <c r="B36" s="12">
        <f>IF(Rekap!$B$40="","",Rekap!$B$40)</f>
        <v/>
      </c>
      <c r="C36" s="12">
        <f>IF(Rekap!$D$40="","",Rekap!$D$40)</f>
        <v/>
      </c>
      <c r="D36" s="11" t="n"/>
      <c r="E36" s="11" t="n"/>
      <c r="F36" s="11" t="n"/>
      <c r="G36" s="11" t="n"/>
      <c r="H36" s="28">
        <f>IF(COUNT(D36:G36)&lt;4,"",AVERAGE(D36:G36)/5*100)</f>
        <v/>
      </c>
    </row>
    <row r="37">
      <c r="A37" s="8" t="n">
        <v>21</v>
      </c>
      <c r="B37" s="12">
        <f>IF(Rekap!$B$41="","",Rekap!$B$41)</f>
        <v/>
      </c>
      <c r="C37" s="12">
        <f>IF(Rekap!$D$41="","",Rekap!$D$41)</f>
        <v/>
      </c>
      <c r="D37" s="11" t="n"/>
      <c r="E37" s="11" t="n"/>
      <c r="F37" s="11" t="n"/>
      <c r="G37" s="11" t="n"/>
      <c r="H37" s="28">
        <f>IF(COUNT(D37:G37)&lt;4,"",AVERAGE(D37:G37)/5*100)</f>
        <v/>
      </c>
    </row>
    <row r="38">
      <c r="A38" s="8" t="n">
        <v>22</v>
      </c>
      <c r="B38" s="12">
        <f>IF(Rekap!$B$42="","",Rekap!$B$42)</f>
        <v/>
      </c>
      <c r="C38" s="12">
        <f>IF(Rekap!$D$42="","",Rekap!$D$42)</f>
        <v/>
      </c>
      <c r="D38" s="11" t="n"/>
      <c r="E38" s="11" t="n"/>
      <c r="F38" s="11" t="n"/>
      <c r="G38" s="11" t="n"/>
      <c r="H38" s="28">
        <f>IF(COUNT(D38:G38)&lt;4,"",AVERAGE(D38:G38)/5*100)</f>
        <v/>
      </c>
    </row>
    <row r="39">
      <c r="A39" s="8" t="n">
        <v>23</v>
      </c>
      <c r="B39" s="12">
        <f>IF(Rekap!$B$43="","",Rekap!$B$43)</f>
        <v/>
      </c>
      <c r="C39" s="12">
        <f>IF(Rekap!$D$43="","",Rekap!$D$43)</f>
        <v/>
      </c>
      <c r="D39" s="11" t="n"/>
      <c r="E39" s="11" t="n"/>
      <c r="F39" s="11" t="n"/>
      <c r="G39" s="11" t="n"/>
      <c r="H39" s="28">
        <f>IF(COUNT(D39:G39)&lt;4,"",AVERAGE(D39:G39)/5*100)</f>
        <v/>
      </c>
    </row>
    <row r="40">
      <c r="A40" s="8" t="n">
        <v>24</v>
      </c>
      <c r="B40" s="12">
        <f>IF(Rekap!$B$44="","",Rekap!$B$44)</f>
        <v/>
      </c>
      <c r="C40" s="12">
        <f>IF(Rekap!$D$44="","",Rekap!$D$44)</f>
        <v/>
      </c>
      <c r="D40" s="11" t="n"/>
      <c r="E40" s="11" t="n"/>
      <c r="F40" s="11" t="n"/>
      <c r="G40" s="11" t="n"/>
      <c r="H40" s="28">
        <f>IF(COUNT(D40:G40)&lt;4,"",AVERAGE(D40:G40)/5*100)</f>
        <v/>
      </c>
    </row>
    <row r="41">
      <c r="A41" s="8" t="n">
        <v>25</v>
      </c>
      <c r="B41" s="12">
        <f>IF(Rekap!$B$45="","",Rekap!$B$45)</f>
        <v/>
      </c>
      <c r="C41" s="12">
        <f>IF(Rekap!$D$45="","",Rekap!$D$45)</f>
        <v/>
      </c>
      <c r="D41" s="11" t="n"/>
      <c r="E41" s="11" t="n"/>
      <c r="F41" s="11" t="n"/>
      <c r="G41" s="11" t="n"/>
      <c r="H41" s="28">
        <f>IF(COUNT(D41:G41)&lt;4,"",AVERAGE(D41:G41)/5*100)</f>
        <v/>
      </c>
    </row>
    <row r="42">
      <c r="A42" s="8" t="n">
        <v>26</v>
      </c>
      <c r="B42" s="12">
        <f>IF(Rekap!$B$46="","",Rekap!$B$46)</f>
        <v/>
      </c>
      <c r="C42" s="12">
        <f>IF(Rekap!$D$46="","",Rekap!$D$46)</f>
        <v/>
      </c>
      <c r="D42" s="11" t="n"/>
      <c r="E42" s="11" t="n"/>
      <c r="F42" s="11" t="n"/>
      <c r="G42" s="11" t="n"/>
      <c r="H42" s="28">
        <f>IF(COUNT(D42:G42)&lt;4,"",AVERAGE(D42:G42)/5*100)</f>
        <v/>
      </c>
    </row>
    <row r="43">
      <c r="A43" s="8" t="n">
        <v>27</v>
      </c>
      <c r="B43" s="12">
        <f>IF(Rekap!$B$47="","",Rekap!$B$47)</f>
        <v/>
      </c>
      <c r="C43" s="12">
        <f>IF(Rekap!$D$47="","",Rekap!$D$47)</f>
        <v/>
      </c>
      <c r="D43" s="11" t="n"/>
      <c r="E43" s="11" t="n"/>
      <c r="F43" s="11" t="n"/>
      <c r="G43" s="11" t="n"/>
      <c r="H43" s="28">
        <f>IF(COUNT(D43:G43)&lt;4,"",AVERAGE(D43:G43)/5*100)</f>
        <v/>
      </c>
    </row>
    <row r="44">
      <c r="A44" s="8" t="n">
        <v>28</v>
      </c>
      <c r="B44" s="12">
        <f>IF(Rekap!$B$48="","",Rekap!$B$48)</f>
        <v/>
      </c>
      <c r="C44" s="12">
        <f>IF(Rekap!$D$48="","",Rekap!$D$48)</f>
        <v/>
      </c>
      <c r="D44" s="11" t="n"/>
      <c r="E44" s="11" t="n"/>
      <c r="F44" s="11" t="n"/>
      <c r="G44" s="11" t="n"/>
      <c r="H44" s="28">
        <f>IF(COUNT(D44:G44)&lt;4,"",AVERAGE(D44:G44)/5*100)</f>
        <v/>
      </c>
    </row>
    <row r="45">
      <c r="A45" s="8" t="n">
        <v>29</v>
      </c>
      <c r="B45" s="12">
        <f>IF(Rekap!$B$49="","",Rekap!$B$49)</f>
        <v/>
      </c>
      <c r="C45" s="12">
        <f>IF(Rekap!$D$49="","",Rekap!$D$49)</f>
        <v/>
      </c>
      <c r="D45" s="11" t="n"/>
      <c r="E45" s="11" t="n"/>
      <c r="F45" s="11" t="n"/>
      <c r="G45" s="11" t="n"/>
      <c r="H45" s="28">
        <f>IF(COUNT(D45:G45)&lt;4,"",AVERAGE(D45:G45)/5*100)</f>
        <v/>
      </c>
    </row>
    <row r="46">
      <c r="A46" s="8" t="n">
        <v>30</v>
      </c>
      <c r="B46" s="12">
        <f>IF(Rekap!$B$50="","",Rekap!$B$50)</f>
        <v/>
      </c>
      <c r="C46" s="12">
        <f>IF(Rekap!$D$50="","",Rekap!$D$50)</f>
        <v/>
      </c>
      <c r="D46" s="11" t="n"/>
      <c r="E46" s="11" t="n"/>
      <c r="F46" s="11" t="n"/>
      <c r="G46" s="11" t="n"/>
      <c r="H46" s="28">
        <f>IF(COUNT(D46:G46)&lt;4,"",AVERAGE(D46:G46)/5*100)</f>
        <v/>
      </c>
    </row>
    <row r="47">
      <c r="A47" s="14" t="inlineStr">
        <is>
          <t>Rata-rata Kelas</t>
        </is>
      </c>
      <c r="B47" s="13" t="n"/>
      <c r="C47" s="13" t="n"/>
      <c r="D47" s="13" t="n"/>
      <c r="E47" s="13" t="n"/>
      <c r="F47" s="13" t="n"/>
      <c r="G47" s="13" t="n"/>
      <c r="H47" s="28">
        <f>IFERROR(AVERAGE(H17:H46),"")</f>
        <v/>
      </c>
    </row>
    <row r="49" ht="15.75" customHeight="1">
      <c r="A49" s="7" t="inlineStr">
        <is>
          <t>Rubrik Acuan Penilaian Tim</t>
        </is>
      </c>
    </row>
    <row r="50">
      <c r="A50" s="4" t="inlineStr">
        <is>
          <t>Kriteria</t>
        </is>
      </c>
      <c r="B50" s="4" t="inlineStr">
        <is>
          <t>Bobot</t>
        </is>
      </c>
      <c r="C50" s="4" t="inlineStr">
        <is>
          <t>Level 1 (Sangat Kurang)</t>
        </is>
      </c>
      <c r="D50" s="4" t="inlineStr">
        <is>
          <t>Level 2 (Kurang)</t>
        </is>
      </c>
      <c r="E50" s="4" t="inlineStr">
        <is>
          <t>Level 3 (Cukup)</t>
        </is>
      </c>
      <c r="F50" s="4" t="inlineStr">
        <is>
          <t>Level 4 (Baik)</t>
        </is>
      </c>
      <c r="G50" s="4" t="inlineStr">
        <is>
          <t>Level 5 (Sangat Baik)</t>
        </is>
      </c>
    </row>
    <row r="51" ht="60" customHeight="1">
      <c r="A51" s="15" t="inlineStr">
        <is>
          <t>Pembentukan Tim dan Pembagian Peran</t>
        </is>
      </c>
      <c r="B51" s="5" t="n">
        <v>0.15</v>
      </c>
      <c r="C51" s="16" t="inlineStr">
        <is>
          <t>Tim belum terbentuk atau tidak ada pembagian peran.</t>
        </is>
      </c>
      <c r="D51" s="16" t="inlineStr">
        <is>
          <t>Tim terbentuk namun peran dan rencana kerja belum dicatat sama sekali.</t>
        </is>
      </c>
      <c r="E51" s="16" t="inlineStr">
        <is>
          <t>Tim terbentuk tetapi peran atau rencana kerja belum sepenuhnya jelas.</t>
        </is>
      </c>
      <c r="F51" s="16" t="inlineStr">
        <is>
          <t>Tim terbentuk dengan peran cukup jelas, rencana kerja tercatat namun kurang rinci.</t>
        </is>
      </c>
      <c r="G51" s="16" t="inlineStr">
        <is>
          <t>Tim terbentuk lengkap dengan peran/tanggung jawab awal yang jelas serta rencana kerja kelompok tercatat.</t>
        </is>
      </c>
    </row>
    <row r="52" ht="60" customHeight="1">
      <c r="A52" s="15" t="inlineStr">
        <is>
          <t>Eksplorasi dan Pemilihan Domain Bisnis</t>
        </is>
      </c>
      <c r="B52" s="5" t="n">
        <v>0.2</v>
      </c>
      <c r="C52" s="16" t="inlineStr">
        <is>
          <t>Tidak ada eksplorasi domain bisnis dan domain belum ditentukan menjelang minggu 4.</t>
        </is>
      </c>
      <c r="D52" s="16" t="inlineStr">
        <is>
          <t>Eksplorasi domain dilakukan namun sangat terbatas, domain akhir belum dipilih dengan jelas.</t>
        </is>
      </c>
      <c r="E52" s="16" t="inlineStr">
        <is>
          <t>Eksplorasi domain dilakukan tetapi masalah pengguna belum teridentifikasi jelas, atau domain dipilih dengan justifikasi masih lemah.</t>
        </is>
      </c>
      <c r="F52" s="16" t="inlineStr">
        <is>
          <t>Minimal dua kandidat domain dieksplorasi dengan masalah pengguna cukup jelas, domain final dipilih meski justifikasi belum kuat.</t>
        </is>
      </c>
      <c r="G52" s="16" t="inlineStr">
        <is>
          <t>Minimal dua kandidat domain bisnis dieksplorasi dengan identifikasi masalah pengguna yang jelas, domain final dipilih dengan justifikasi jelas.</t>
        </is>
      </c>
    </row>
    <row r="53" ht="60" customHeight="1">
      <c r="A53" s="15" t="inlineStr">
        <is>
          <t>Kejelasan Masalah dan Kebutuhan Pengguna</t>
        </is>
      </c>
      <c r="B53" s="5" t="n">
        <v>0.2</v>
      </c>
      <c r="C53" s="16" t="inlineStr">
        <is>
          <t>Masalah pengguna dan kebutuhan pengguna tidak jelas atau tidak terpetakan.</t>
        </is>
      </c>
      <c r="D53" s="16" t="inlineStr">
        <is>
          <t>Masalah pengguna disebutkan namun kebutuhan pengguna belum terpetakan.</t>
        </is>
      </c>
      <c r="E53" s="16" t="inlineStr">
        <is>
          <t>Masalah pengguna kurang spesifik atau justifikasi lemah, sebagian kebutuhan pengguna belum terpetakan jelas.</t>
        </is>
      </c>
      <c r="F53" s="16" t="inlineStr">
        <is>
          <t>Masalah pengguna cukup spesifik dan relevan, sebagian besar kebutuhan pengguna terpetakan.</t>
        </is>
      </c>
      <c r="G53" s="16" t="inlineStr">
        <is>
          <t>Masalah pengguna dijelaskan spesifik, relevan, didukung justifikasi kuat, dan kebutuhan pengguna terpetakan lengkap.</t>
        </is>
      </c>
    </row>
    <row r="54" ht="60" customHeight="1">
      <c r="A54" s="15" t="inlineStr">
        <is>
          <t>Rancangan Model Data dan Daftar Fitur Awal (SCPMK0202-04001/04004)</t>
        </is>
      </c>
      <c r="B54" s="5" t="n">
        <v>0.25</v>
      </c>
      <c r="C54" s="16" t="inlineStr">
        <is>
          <t>Model data awal tidak ada dan daftar fitur awal tidak realistis atau tidak ada.</t>
        </is>
      </c>
      <c r="D54" s="16" t="inlineStr">
        <is>
          <t>Model data awal ada namun tidak konsisten dengan kebutuhan, daftar fitur awal belum diprioritaskan.</t>
        </is>
      </c>
      <c r="E54" s="16" t="inlineStr">
        <is>
          <t>Model data awal (entitas &amp; relasi) belum sepenuhnya konsisten, daftar fitur awal ada tetapi prioritas atau keterukurannya belum jelas.</t>
        </is>
      </c>
      <c r="F54" s="16" t="inlineStr">
        <is>
          <t>Model data awal (entitas &amp; relasi) cukup konsisten dengan kebutuhan, daftar fitur awal realistis meski prioritas belum optimal.</t>
        </is>
      </c>
      <c r="G54" s="16" t="inlineStr">
        <is>
          <t>Model data awal (entitas &amp; relasi) konsisten dengan kebutuhan, daftar fitur awal realistis, terukur, dan diprioritaskan sesuai kebutuhan pengguna.</t>
        </is>
      </c>
    </row>
    <row r="55" ht="60" customHeight="1">
      <c r="A55" s="15" t="inlineStr">
        <is>
          <t>Kualitas Dokumen Proposal</t>
        </is>
      </c>
      <c r="B55" s="5" t="n">
        <v>0.2</v>
      </c>
      <c r="C55" s="16" t="inlineStr">
        <is>
          <t>Dokumen proposal tidak diserahkan.</t>
        </is>
      </c>
      <c r="D55" s="16" t="inlineStr">
        <is>
          <t>Dokumen proposal diserahkan namun sangat tidak rapi dan tidak lengkap.</t>
        </is>
      </c>
      <c r="E55" s="16" t="inlineStr">
        <is>
          <t>Dokumen proposal ada tetapi kurang rapi atau kurang lengkap.</t>
        </is>
      </c>
      <c r="F55" s="16" t="inlineStr">
        <is>
          <t>Dokumen proposal cukup rapi dan lengkap.</t>
        </is>
      </c>
      <c r="G55" s="16" t="inlineStr">
        <is>
          <t>Dokumen proposal tersusun rapi, lengkap, dan jelas.</t>
        </is>
      </c>
    </row>
    <row r="56">
      <c r="A56" s="17" t="inlineStr">
        <is>
          <t>Total Bobot</t>
        </is>
      </c>
      <c r="B56" s="6">
        <f>SUM(B51:B55)</f>
        <v/>
      </c>
      <c r="C56" s="13" t="n"/>
      <c r="D56" s="13" t="n"/>
      <c r="E56" s="13" t="n"/>
      <c r="F56" s="13" t="n"/>
      <c r="G56" s="13" t="n"/>
    </row>
    <row r="58" ht="15.75" customHeight="1">
      <c r="A58" s="7" t="inlineStr">
        <is>
          <t>Rubrik Acuan Penilaian Individu (bobot tiap kriteria setara)</t>
        </is>
      </c>
    </row>
    <row r="59">
      <c r="A59" s="4" t="inlineStr">
        <is>
          <t>Kriteria</t>
        </is>
      </c>
      <c r="B59" s="4" t="inlineStr">
        <is>
          <t>Level 1 (Sangat Kurang)</t>
        </is>
      </c>
      <c r="C59" s="4" t="inlineStr">
        <is>
          <t>Level 2 (Kurang)</t>
        </is>
      </c>
      <c r="D59" s="4" t="inlineStr">
        <is>
          <t>Level 3 (Cukup)</t>
        </is>
      </c>
      <c r="E59" s="4" t="inlineStr">
        <is>
          <t>Level 4 (Baik)</t>
        </is>
      </c>
      <c r="F59" s="4" t="inlineStr">
        <is>
          <t>Level 5 (Sangat Baik)</t>
        </is>
      </c>
    </row>
    <row r="60" ht="60" customHeight="1">
      <c r="A60" s="15" t="inlineStr">
        <is>
          <t>Kontribusi Teknis</t>
        </is>
      </c>
      <c r="B60" s="16" t="inlineStr">
        <is>
          <t>Tidak berkontribusi pada penyusunan proposal.</t>
        </is>
      </c>
      <c r="C60" s="16" t="inlineStr">
        <is>
          <t>Berkontribusi minim, sebagian besar dikerjakan anggota lain.</t>
        </is>
      </c>
      <c r="D60" s="16" t="inlineStr">
        <is>
          <t>Berkontribusi cukup pada salah satu bagian proposal.</t>
        </is>
      </c>
      <c r="E60" s="16" t="inlineStr">
        <is>
          <t>Berkontribusi jelas pada beberapa bagian penting proposal.</t>
        </is>
      </c>
      <c r="F60" s="16" t="inlineStr">
        <is>
          <t>Berkontribusi signifikan dan terlihat jelas pada proposal yang dihasilkan.</t>
        </is>
      </c>
    </row>
    <row r="61" ht="60" customHeight="1">
      <c r="A61" s="15" t="inlineStr">
        <is>
          <t>Kedisiplinan dan Tanggung Jawab</t>
        </is>
      </c>
      <c r="B61" s="16" t="inlineStr">
        <is>
          <t>Tidak hadir atau tidak terlibat dalam diskusi tim.</t>
        </is>
      </c>
      <c r="C61" s="16" t="inlineStr">
        <is>
          <t>Kehadiran dan keterlibatan sangat minim.</t>
        </is>
      </c>
      <c r="D61" s="16" t="inlineStr">
        <is>
          <t>Hadir dan terlibat cukup, sebagian tugas selesai tepat waktu.</t>
        </is>
      </c>
      <c r="E61" s="16" t="inlineStr">
        <is>
          <t>Hadir aktif, tugas yang disepakati selesai tepat waktu.</t>
        </is>
      </c>
      <c r="F61" s="16" t="inlineStr">
        <is>
          <t>Hadir aktif, bertanggung jawab penuh, selalu menyelesaikan tugas tepat waktu.</t>
        </is>
      </c>
    </row>
    <row r="62" ht="60" customHeight="1">
      <c r="A62" s="15" t="inlineStr">
        <is>
          <t>Kolaborasi dalam Tim</t>
        </is>
      </c>
      <c r="B62" s="16" t="inlineStr">
        <is>
          <t>Tidak berkomunikasi atau bekerja sama dengan anggota lain.</t>
        </is>
      </c>
      <c r="C62" s="16" t="inlineStr">
        <is>
          <t>Komunikasi minim, jarang membantu anggota lain.</t>
        </is>
      </c>
      <c r="D62" s="16" t="inlineStr">
        <is>
          <t>Berkomunikasi cukup baik, sesekali membantu anggota lain.</t>
        </is>
      </c>
      <c r="E62" s="16" t="inlineStr">
        <is>
          <t>Berkomunikasi aktif dan membantu anggota lain saat dibutuhkan.</t>
        </is>
      </c>
      <c r="F62" s="16" t="inlineStr">
        <is>
          <t>Berkomunikasi sangat aktif, mendorong kolaborasi dan membantu menyelesaikan hambatan tim.</t>
        </is>
      </c>
    </row>
    <row r="63" ht="60" customHeight="1">
      <c r="A63" s="15" t="inlineStr">
        <is>
          <t>Penguasaan Materi Produk</t>
        </is>
      </c>
      <c r="B63" s="16" t="inlineStr">
        <is>
          <t>Tidak memahami rencana produk yang diajukan.</t>
        </is>
      </c>
      <c r="C63" s="16" t="inlineStr">
        <is>
          <t>Memahami sebagian kecil rencana produk.</t>
        </is>
      </c>
      <c r="D63" s="16" t="inlineStr">
        <is>
          <t>Memahami sebagian besar rencana produk, namun kurang konsisten pada bagian yang ia kerjakan.</t>
        </is>
      </c>
      <c r="E63" s="16" t="inlineStr">
        <is>
          <t>Memahami rencana produk dengan baik, tercermin pada bagian yang ia kerjakan dalam proposal.</t>
        </is>
      </c>
      <c r="F63" s="16" t="inlineStr">
        <is>
          <t>Memahami rencana produk secara menyeluruh, tercermin jelas pada kualitas bagian proposal yang ia kerjakan.</t>
        </is>
      </c>
    </row>
  </sheetData>
  <mergeCells count="6">
    <mergeCell ref="A4:H4"/>
    <mergeCell ref="A15:H15"/>
    <mergeCell ref="A2:H2"/>
    <mergeCell ref="A58:F58"/>
    <mergeCell ref="A1:H1"/>
    <mergeCell ref="A49:G49"/>
  </mergeCells>
  <conditionalFormatting sqref="B56">
    <cfRule type="cellIs" priority="1" operator="notEqual" dxfId="0">
      <formula>1</formula>
    </cfRule>
  </conditionalFormatting>
  <dataValidations count="1">
    <dataValidation sqref="B7 B8 B9 B10 B11 B12 C7 C8 C9 C10 C11 C12 D7 D8 D9 D10 D11 D12 D17 D18 D19 D20 D21 D22 D23 D24 D25 D26 D27 D28 D29 D30 D31 D32 D33 D34 D35 D36 D37 D38 D39 D40 D41 D42 D43 D44 D45 D46 E7 E8 E9 E10 E11 E12 E17 E18 E19 E20 E21 E22 E23 E24 E25 E26 E27 E28 E29 E30 E31 E32 E33 E34 E35 E36 E37 E38 E39 E40 E41 E42 E43 E44 E45 E46 F7 F8 F9 F10 F11 F12 F17 F18 F19 F20 F21 F22 F23 F24 F25 F26 F27 F28 F29 F30 F31 F32 F33 F34 F35 F36 F37 F38 F39 F40 F41 F42 F43 F44 F45 F46 G17 G18 G19 G20 G21 G22 G23 G24 G25 G26 G27 G28 G29 G30 G31 G32 G33 G34 G35 G36 G37 G38 G39 G40 G41 G42 G43 G44 G45 G46" showDropDown="0" showInputMessage="0" showErrorMessage="1" allowBlank="1" errorTitle="Skor tidak valid" error="Pilih skor 1 sampai 5 dari daftar dropdown."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3"/>
  <sheetViews>
    <sheetView showGridLines="0" workbookViewId="0">
      <pane xSplit="1" ySplit="6" topLeftCell="B7" activePane="bottomRight" state="frozen"/>
      <selection activeCell="A1" sqref="A1"/>
      <selection pane="topRight" activeCell="A1" sqref="A1"/>
      <selection pane="bottomLeft" activeCell="A1" sqref="A1"/>
      <selection pane="bottomRight" activeCell="A1" sqref="A1:H1"/>
    </sheetView>
  </sheetViews>
  <sheetFormatPr baseColWidth="8" defaultColWidth="9" defaultRowHeight="15"/>
  <cols>
    <col width="26" customWidth="1" min="1" max="2"/>
    <col width="30" customWidth="1" min="3" max="7"/>
    <col width="16" customWidth="1" min="8" max="8"/>
  </cols>
  <sheetData>
    <row r="1" ht="21" customHeight="1">
      <c r="A1" s="1" t="inlineStr">
        <is>
          <t>Rubrik Penilaian - Checkpoint Milestone 1 / UTS (Minggu 8)</t>
        </is>
      </c>
    </row>
    <row r="2">
      <c r="A2" s="2" t="inlineStr">
        <is>
          <t>Nilai tim dan nilai individu diisi di bawah ini; rubrik acuan skor 1-5 ada di bagian bawah sheet ini.</t>
        </is>
      </c>
    </row>
    <row r="4" ht="15.75" customHeight="1">
      <c r="A4" s="7" t="inlineStr">
        <is>
          <t>Penilaian Tim (skor 1-5 per kriteria)</t>
        </is>
      </c>
    </row>
    <row r="5">
      <c r="A5" s="3" t="inlineStr">
        <is>
          <t>Bobot (acuan)</t>
        </is>
      </c>
      <c r="B5" s="6">
        <f>B51</f>
        <v/>
      </c>
      <c r="C5" s="6">
        <f>B52</f>
        <v/>
      </c>
      <c r="D5" s="6">
        <f>B53</f>
        <v/>
      </c>
      <c r="E5" s="6">
        <f>B54</f>
        <v/>
      </c>
      <c r="F5" s="6">
        <f>B55</f>
        <v/>
      </c>
      <c r="G5" s="13" t="n"/>
      <c r="H5" s="13" t="n"/>
    </row>
    <row r="6" ht="25.5" customHeight="1">
      <c r="A6" s="4" t="inlineStr">
        <is>
          <t>Nama Tim</t>
        </is>
      </c>
      <c r="B6" s="4" t="inlineStr">
        <is>
          <t>Progres Pengembangan Sesuai Rencana Proposal</t>
        </is>
      </c>
      <c r="C6" s="4" t="inlineStr">
        <is>
          <t>Kelengkapan CRUD dan Validasi Input (SCPMK0202-04002)</t>
        </is>
      </c>
      <c r="D6" s="4" t="inlineStr">
        <is>
          <t>Kualitas Arsitektur MVC dan Struktur Basis Data (SCPMK0202-04001)</t>
        </is>
      </c>
      <c r="E6" s="4" t="inlineStr">
        <is>
          <t>Autentikasi dan Otorisasi Peran (SCPMK0202-04003)</t>
        </is>
      </c>
      <c r="F6" s="4" t="inlineStr">
        <is>
          <t>Kesiapan Menjelaskan Keputusan Teknis</t>
        </is>
      </c>
      <c r="G6" s="4" t="inlineStr">
        <is>
          <t>Rata Tertimbang (1-5)</t>
        </is>
      </c>
      <c r="H6" s="4" t="inlineStr">
        <is>
          <t>Nilai (0-100)</t>
        </is>
      </c>
    </row>
    <row r="7">
      <c r="A7" s="12">
        <f>Rekap!$B$12</f>
        <v/>
      </c>
      <c r="B7" s="11" t="n"/>
      <c r="C7" s="11" t="n"/>
      <c r="D7" s="11" t="n"/>
      <c r="E7" s="11" t="n"/>
      <c r="F7" s="11" t="n"/>
      <c r="G7" s="18">
        <f>IF(COUNT(B7:F7)&lt;5,"",SUMPRODUCT(B7:F7,B$5:F$5)/SUM(B$5:F$5))</f>
        <v/>
      </c>
      <c r="H7" s="28">
        <f>IF(G7="","",G7/5*100)</f>
        <v/>
      </c>
    </row>
    <row r="8">
      <c r="A8" s="12">
        <f>Rekap!$B$13</f>
        <v/>
      </c>
      <c r="B8" s="11" t="n"/>
      <c r="C8" s="11" t="n"/>
      <c r="D8" s="11" t="n"/>
      <c r="E8" s="11" t="n"/>
      <c r="F8" s="11" t="n"/>
      <c r="G8" s="18">
        <f>IF(COUNT(B8:F8)&lt;5,"",SUMPRODUCT(B8:F8,B$5:F$5)/SUM(B$5:F$5))</f>
        <v/>
      </c>
      <c r="H8" s="28">
        <f>IF(G8="","",G8/5*100)</f>
        <v/>
      </c>
    </row>
    <row r="9">
      <c r="A9" s="12">
        <f>Rekap!$B$14</f>
        <v/>
      </c>
      <c r="B9" s="11" t="n"/>
      <c r="C9" s="11" t="n"/>
      <c r="D9" s="11" t="n"/>
      <c r="E9" s="11" t="n"/>
      <c r="F9" s="11" t="n"/>
      <c r="G9" s="18">
        <f>IF(COUNT(B9:F9)&lt;5,"",SUMPRODUCT(B9:F9,B$5:F$5)/SUM(B$5:F$5))</f>
        <v/>
      </c>
      <c r="H9" s="28">
        <f>IF(G9="","",G9/5*100)</f>
        <v/>
      </c>
    </row>
    <row r="10">
      <c r="A10" s="12">
        <f>Rekap!$B$15</f>
        <v/>
      </c>
      <c r="B10" s="11" t="n"/>
      <c r="C10" s="11" t="n"/>
      <c r="D10" s="11" t="n"/>
      <c r="E10" s="11" t="n"/>
      <c r="F10" s="11" t="n"/>
      <c r="G10" s="18">
        <f>IF(COUNT(B10:F10)&lt;5,"",SUMPRODUCT(B10:F10,B$5:F$5)/SUM(B$5:F$5))</f>
        <v/>
      </c>
      <c r="H10" s="28">
        <f>IF(G10="","",G10/5*100)</f>
        <v/>
      </c>
    </row>
    <row r="11">
      <c r="A11" s="12">
        <f>Rekap!$B$16</f>
        <v/>
      </c>
      <c r="B11" s="11" t="n"/>
      <c r="C11" s="11" t="n"/>
      <c r="D11" s="11" t="n"/>
      <c r="E11" s="11" t="n"/>
      <c r="F11" s="11" t="n"/>
      <c r="G11" s="18">
        <f>IF(COUNT(B11:F11)&lt;5,"",SUMPRODUCT(B11:F11,B$5:F$5)/SUM(B$5:F$5))</f>
        <v/>
      </c>
      <c r="H11" s="28">
        <f>IF(G11="","",G11/5*100)</f>
        <v/>
      </c>
    </row>
    <row r="12">
      <c r="A12" s="12">
        <f>Rekap!$B$17</f>
        <v/>
      </c>
      <c r="B12" s="11" t="n"/>
      <c r="C12" s="11" t="n"/>
      <c r="D12" s="11" t="n"/>
      <c r="E12" s="11" t="n"/>
      <c r="F12" s="11" t="n"/>
      <c r="G12" s="18">
        <f>IF(COUNT(B12:F12)&lt;5,"",SUMPRODUCT(B12:F12,B$5:F$5)/SUM(B$5:F$5))</f>
        <v/>
      </c>
      <c r="H12" s="28">
        <f>IF(G12="","",G12/5*100)</f>
        <v/>
      </c>
    </row>
    <row r="13">
      <c r="A13" s="3" t="inlineStr">
        <is>
          <t>Rata-rata Kelas</t>
        </is>
      </c>
      <c r="B13" s="13" t="n"/>
      <c r="C13" s="13" t="n"/>
      <c r="D13" s="13" t="n"/>
      <c r="E13" s="13" t="n"/>
      <c r="F13" s="13" t="n"/>
      <c r="G13" s="13" t="n"/>
      <c r="H13" s="28">
        <f>IFERROR(AVERAGE(H7:H12),"")</f>
        <v/>
      </c>
    </row>
    <row r="15" ht="15.75" customHeight="1">
      <c r="A15" s="7" t="inlineStr">
        <is>
          <t>Penilaian Individu (skor 1-5 per kriteria)</t>
        </is>
      </c>
    </row>
    <row r="16" ht="25.5" customHeight="1">
      <c r="A16" s="4" t="inlineStr">
        <is>
          <t>No</t>
        </is>
      </c>
      <c r="B16" s="4" t="inlineStr">
        <is>
          <t>Nama Mahasiswa</t>
        </is>
      </c>
      <c r="C16" s="4" t="inlineStr">
        <is>
          <t>Tim</t>
        </is>
      </c>
      <c r="D16" s="4" t="inlineStr">
        <is>
          <t>Kontribusi terhadap Pekerjaan Tim</t>
        </is>
      </c>
      <c r="E16" s="4" t="inlineStr">
        <is>
          <t>Kualitas Hasil Kerja yang Dikerjakan</t>
        </is>
      </c>
      <c r="F16" s="4" t="inlineStr">
        <is>
          <t>Pemahaman Teknis atas Bagian yang Dikerjakan</t>
        </is>
      </c>
      <c r="G16" s="4" t="inlineStr">
        <is>
          <t>Kesiapan Menjelaskan Bagian yang Dikerjakan</t>
        </is>
      </c>
      <c r="H16" s="4" t="inlineStr">
        <is>
          <t>Nilai Individu (0-100)</t>
        </is>
      </c>
    </row>
    <row r="17">
      <c r="A17" s="8" t="n">
        <v>1</v>
      </c>
      <c r="B17" s="12">
        <f>IF(Rekap!$B$21="","",Rekap!$B$21)</f>
        <v/>
      </c>
      <c r="C17" s="12">
        <f>IF(Rekap!$D$21="","",Rekap!$D$21)</f>
        <v/>
      </c>
      <c r="D17" s="11" t="n"/>
      <c r="E17" s="11" t="n"/>
      <c r="F17" s="11" t="n"/>
      <c r="G17" s="11" t="n"/>
      <c r="H17" s="28">
        <f>IF(COUNT(D17:G17)&lt;4,"",AVERAGE(D17:G17)/5*100)</f>
        <v/>
      </c>
    </row>
    <row r="18">
      <c r="A18" s="8" t="n">
        <v>2</v>
      </c>
      <c r="B18" s="12">
        <f>IF(Rekap!$B$22="","",Rekap!$B$22)</f>
        <v/>
      </c>
      <c r="C18" s="12">
        <f>IF(Rekap!$D$22="","",Rekap!$D$22)</f>
        <v/>
      </c>
      <c r="D18" s="11" t="n"/>
      <c r="E18" s="11" t="n"/>
      <c r="F18" s="11" t="n"/>
      <c r="G18" s="11" t="n"/>
      <c r="H18" s="28">
        <f>IF(COUNT(D18:G18)&lt;4,"",AVERAGE(D18:G18)/5*100)</f>
        <v/>
      </c>
    </row>
    <row r="19">
      <c r="A19" s="8" t="n">
        <v>3</v>
      </c>
      <c r="B19" s="12">
        <f>IF(Rekap!$B$23="","",Rekap!$B$23)</f>
        <v/>
      </c>
      <c r="C19" s="12">
        <f>IF(Rekap!$D$23="","",Rekap!$D$23)</f>
        <v/>
      </c>
      <c r="D19" s="11" t="n"/>
      <c r="E19" s="11" t="n"/>
      <c r="F19" s="11" t="n"/>
      <c r="G19" s="11" t="n"/>
      <c r="H19" s="28">
        <f>IF(COUNT(D19:G19)&lt;4,"",AVERAGE(D19:G19)/5*100)</f>
        <v/>
      </c>
    </row>
    <row r="20">
      <c r="A20" s="8" t="n">
        <v>4</v>
      </c>
      <c r="B20" s="12">
        <f>IF(Rekap!$B$24="","",Rekap!$B$24)</f>
        <v/>
      </c>
      <c r="C20" s="12">
        <f>IF(Rekap!$D$24="","",Rekap!$D$24)</f>
        <v/>
      </c>
      <c r="D20" s="11" t="n"/>
      <c r="E20" s="11" t="n"/>
      <c r="F20" s="11" t="n"/>
      <c r="G20" s="11" t="n"/>
      <c r="H20" s="28">
        <f>IF(COUNT(D20:G20)&lt;4,"",AVERAGE(D20:G20)/5*100)</f>
        <v/>
      </c>
    </row>
    <row r="21">
      <c r="A21" s="8" t="n">
        <v>5</v>
      </c>
      <c r="B21" s="12">
        <f>IF(Rekap!$B$25="","",Rekap!$B$25)</f>
        <v/>
      </c>
      <c r="C21" s="12">
        <f>IF(Rekap!$D$25="","",Rekap!$D$25)</f>
        <v/>
      </c>
      <c r="D21" s="11" t="n"/>
      <c r="E21" s="11" t="n"/>
      <c r="F21" s="11" t="n"/>
      <c r="G21" s="11" t="n"/>
      <c r="H21" s="28">
        <f>IF(COUNT(D21:G21)&lt;4,"",AVERAGE(D21:G21)/5*100)</f>
        <v/>
      </c>
    </row>
    <row r="22">
      <c r="A22" s="8" t="n">
        <v>6</v>
      </c>
      <c r="B22" s="12">
        <f>IF(Rekap!$B$26="","",Rekap!$B$26)</f>
        <v/>
      </c>
      <c r="C22" s="12">
        <f>IF(Rekap!$D$26="","",Rekap!$D$26)</f>
        <v/>
      </c>
      <c r="D22" s="11" t="n"/>
      <c r="E22" s="11" t="n"/>
      <c r="F22" s="11" t="n"/>
      <c r="G22" s="11" t="n"/>
      <c r="H22" s="28">
        <f>IF(COUNT(D22:G22)&lt;4,"",AVERAGE(D22:G22)/5*100)</f>
        <v/>
      </c>
    </row>
    <row r="23">
      <c r="A23" s="8" t="n">
        <v>7</v>
      </c>
      <c r="B23" s="12">
        <f>IF(Rekap!$B$27="","",Rekap!$B$27)</f>
        <v/>
      </c>
      <c r="C23" s="12">
        <f>IF(Rekap!$D$27="","",Rekap!$D$27)</f>
        <v/>
      </c>
      <c r="D23" s="11" t="n"/>
      <c r="E23" s="11" t="n"/>
      <c r="F23" s="11" t="n"/>
      <c r="G23" s="11" t="n"/>
      <c r="H23" s="28">
        <f>IF(COUNT(D23:G23)&lt;4,"",AVERAGE(D23:G23)/5*100)</f>
        <v/>
      </c>
    </row>
    <row r="24">
      <c r="A24" s="8" t="n">
        <v>8</v>
      </c>
      <c r="B24" s="12">
        <f>IF(Rekap!$B$28="","",Rekap!$B$28)</f>
        <v/>
      </c>
      <c r="C24" s="12">
        <f>IF(Rekap!$D$28="","",Rekap!$D$28)</f>
        <v/>
      </c>
      <c r="D24" s="11" t="n"/>
      <c r="E24" s="11" t="n"/>
      <c r="F24" s="11" t="n"/>
      <c r="G24" s="11" t="n"/>
      <c r="H24" s="28">
        <f>IF(COUNT(D24:G24)&lt;4,"",AVERAGE(D24:G24)/5*100)</f>
        <v/>
      </c>
    </row>
    <row r="25">
      <c r="A25" s="8" t="n">
        <v>9</v>
      </c>
      <c r="B25" s="12">
        <f>IF(Rekap!$B$29="","",Rekap!$B$29)</f>
        <v/>
      </c>
      <c r="C25" s="12">
        <f>IF(Rekap!$D$29="","",Rekap!$D$29)</f>
        <v/>
      </c>
      <c r="D25" s="11" t="n"/>
      <c r="E25" s="11" t="n"/>
      <c r="F25" s="11" t="n"/>
      <c r="G25" s="11" t="n"/>
      <c r="H25" s="28">
        <f>IF(COUNT(D25:G25)&lt;4,"",AVERAGE(D25:G25)/5*100)</f>
        <v/>
      </c>
    </row>
    <row r="26">
      <c r="A26" s="8" t="n">
        <v>10</v>
      </c>
      <c r="B26" s="12">
        <f>IF(Rekap!$B$30="","",Rekap!$B$30)</f>
        <v/>
      </c>
      <c r="C26" s="12">
        <f>IF(Rekap!$D$30="","",Rekap!$D$30)</f>
        <v/>
      </c>
      <c r="D26" s="11" t="n"/>
      <c r="E26" s="11" t="n"/>
      <c r="F26" s="11" t="n"/>
      <c r="G26" s="11" t="n"/>
      <c r="H26" s="28">
        <f>IF(COUNT(D26:G26)&lt;4,"",AVERAGE(D26:G26)/5*100)</f>
        <v/>
      </c>
    </row>
    <row r="27">
      <c r="A27" s="8" t="n">
        <v>11</v>
      </c>
      <c r="B27" s="12">
        <f>IF(Rekap!$B$31="","",Rekap!$B$31)</f>
        <v/>
      </c>
      <c r="C27" s="12">
        <f>IF(Rekap!$D$31="","",Rekap!$D$31)</f>
        <v/>
      </c>
      <c r="D27" s="11" t="n"/>
      <c r="E27" s="11" t="n"/>
      <c r="F27" s="11" t="n"/>
      <c r="G27" s="11" t="n"/>
      <c r="H27" s="28">
        <f>IF(COUNT(D27:G27)&lt;4,"",AVERAGE(D27:G27)/5*100)</f>
        <v/>
      </c>
    </row>
    <row r="28">
      <c r="A28" s="8" t="n">
        <v>12</v>
      </c>
      <c r="B28" s="12">
        <f>IF(Rekap!$B$32="","",Rekap!$B$32)</f>
        <v/>
      </c>
      <c r="C28" s="12">
        <f>IF(Rekap!$D$32="","",Rekap!$D$32)</f>
        <v/>
      </c>
      <c r="D28" s="11" t="n"/>
      <c r="E28" s="11" t="n"/>
      <c r="F28" s="11" t="n"/>
      <c r="G28" s="11" t="n"/>
      <c r="H28" s="28">
        <f>IF(COUNT(D28:G28)&lt;4,"",AVERAGE(D28:G28)/5*100)</f>
        <v/>
      </c>
    </row>
    <row r="29">
      <c r="A29" s="8" t="n">
        <v>13</v>
      </c>
      <c r="B29" s="12">
        <f>IF(Rekap!$B$33="","",Rekap!$B$33)</f>
        <v/>
      </c>
      <c r="C29" s="12">
        <f>IF(Rekap!$D$33="","",Rekap!$D$33)</f>
        <v/>
      </c>
      <c r="D29" s="11" t="n"/>
      <c r="E29" s="11" t="n"/>
      <c r="F29" s="11" t="n"/>
      <c r="G29" s="11" t="n"/>
      <c r="H29" s="28">
        <f>IF(COUNT(D29:G29)&lt;4,"",AVERAGE(D29:G29)/5*100)</f>
        <v/>
      </c>
    </row>
    <row r="30">
      <c r="A30" s="8" t="n">
        <v>14</v>
      </c>
      <c r="B30" s="12">
        <f>IF(Rekap!$B$34="","",Rekap!$B$34)</f>
        <v/>
      </c>
      <c r="C30" s="12">
        <f>IF(Rekap!$D$34="","",Rekap!$D$34)</f>
        <v/>
      </c>
      <c r="D30" s="11" t="n"/>
      <c r="E30" s="11" t="n"/>
      <c r="F30" s="11" t="n"/>
      <c r="G30" s="11" t="n"/>
      <c r="H30" s="28">
        <f>IF(COUNT(D30:G30)&lt;4,"",AVERAGE(D30:G30)/5*100)</f>
        <v/>
      </c>
    </row>
    <row r="31">
      <c r="A31" s="8" t="n">
        <v>15</v>
      </c>
      <c r="B31" s="12">
        <f>IF(Rekap!$B$35="","",Rekap!$B$35)</f>
        <v/>
      </c>
      <c r="C31" s="12">
        <f>IF(Rekap!$D$35="","",Rekap!$D$35)</f>
        <v/>
      </c>
      <c r="D31" s="11" t="n"/>
      <c r="E31" s="11" t="n"/>
      <c r="F31" s="11" t="n"/>
      <c r="G31" s="11" t="n"/>
      <c r="H31" s="28">
        <f>IF(COUNT(D31:G31)&lt;4,"",AVERAGE(D31:G31)/5*100)</f>
        <v/>
      </c>
    </row>
    <row r="32">
      <c r="A32" s="8" t="n">
        <v>16</v>
      </c>
      <c r="B32" s="12">
        <f>IF(Rekap!$B$36="","",Rekap!$B$36)</f>
        <v/>
      </c>
      <c r="C32" s="12">
        <f>IF(Rekap!$D$36="","",Rekap!$D$36)</f>
        <v/>
      </c>
      <c r="D32" s="11" t="n"/>
      <c r="E32" s="11" t="n"/>
      <c r="F32" s="11" t="n"/>
      <c r="G32" s="11" t="n"/>
      <c r="H32" s="28">
        <f>IF(COUNT(D32:G32)&lt;4,"",AVERAGE(D32:G32)/5*100)</f>
        <v/>
      </c>
    </row>
    <row r="33">
      <c r="A33" s="8" t="n">
        <v>17</v>
      </c>
      <c r="B33" s="12">
        <f>IF(Rekap!$B$37="","",Rekap!$B$37)</f>
        <v/>
      </c>
      <c r="C33" s="12">
        <f>IF(Rekap!$D$37="","",Rekap!$D$37)</f>
        <v/>
      </c>
      <c r="D33" s="11" t="n"/>
      <c r="E33" s="11" t="n"/>
      <c r="F33" s="11" t="n"/>
      <c r="G33" s="11" t="n"/>
      <c r="H33" s="28">
        <f>IF(COUNT(D33:G33)&lt;4,"",AVERAGE(D33:G33)/5*100)</f>
        <v/>
      </c>
    </row>
    <row r="34">
      <c r="A34" s="8" t="n">
        <v>18</v>
      </c>
      <c r="B34" s="12">
        <f>IF(Rekap!$B$38="","",Rekap!$B$38)</f>
        <v/>
      </c>
      <c r="C34" s="12">
        <f>IF(Rekap!$D$38="","",Rekap!$D$38)</f>
        <v/>
      </c>
      <c r="D34" s="11" t="n"/>
      <c r="E34" s="11" t="n"/>
      <c r="F34" s="11" t="n"/>
      <c r="G34" s="11" t="n"/>
      <c r="H34" s="28">
        <f>IF(COUNT(D34:G34)&lt;4,"",AVERAGE(D34:G34)/5*100)</f>
        <v/>
      </c>
    </row>
    <row r="35">
      <c r="A35" s="8" t="n">
        <v>19</v>
      </c>
      <c r="B35" s="12">
        <f>IF(Rekap!$B$39="","",Rekap!$B$39)</f>
        <v/>
      </c>
      <c r="C35" s="12">
        <f>IF(Rekap!$D$39="","",Rekap!$D$39)</f>
        <v/>
      </c>
      <c r="D35" s="11" t="n"/>
      <c r="E35" s="11" t="n"/>
      <c r="F35" s="11" t="n"/>
      <c r="G35" s="11" t="n"/>
      <c r="H35" s="28">
        <f>IF(COUNT(D35:G35)&lt;4,"",AVERAGE(D35:G35)/5*100)</f>
        <v/>
      </c>
    </row>
    <row r="36">
      <c r="A36" s="8" t="n">
        <v>20</v>
      </c>
      <c r="B36" s="12">
        <f>IF(Rekap!$B$40="","",Rekap!$B$40)</f>
        <v/>
      </c>
      <c r="C36" s="12">
        <f>IF(Rekap!$D$40="","",Rekap!$D$40)</f>
        <v/>
      </c>
      <c r="D36" s="11" t="n"/>
      <c r="E36" s="11" t="n"/>
      <c r="F36" s="11" t="n"/>
      <c r="G36" s="11" t="n"/>
      <c r="H36" s="28">
        <f>IF(COUNT(D36:G36)&lt;4,"",AVERAGE(D36:G36)/5*100)</f>
        <v/>
      </c>
    </row>
    <row r="37">
      <c r="A37" s="8" t="n">
        <v>21</v>
      </c>
      <c r="B37" s="12">
        <f>IF(Rekap!$B$41="","",Rekap!$B$41)</f>
        <v/>
      </c>
      <c r="C37" s="12">
        <f>IF(Rekap!$D$41="","",Rekap!$D$41)</f>
        <v/>
      </c>
      <c r="D37" s="11" t="n"/>
      <c r="E37" s="11" t="n"/>
      <c r="F37" s="11" t="n"/>
      <c r="G37" s="11" t="n"/>
      <c r="H37" s="28">
        <f>IF(COUNT(D37:G37)&lt;4,"",AVERAGE(D37:G37)/5*100)</f>
        <v/>
      </c>
    </row>
    <row r="38">
      <c r="A38" s="8" t="n">
        <v>22</v>
      </c>
      <c r="B38" s="12">
        <f>IF(Rekap!$B$42="","",Rekap!$B$42)</f>
        <v/>
      </c>
      <c r="C38" s="12">
        <f>IF(Rekap!$D$42="","",Rekap!$D$42)</f>
        <v/>
      </c>
      <c r="D38" s="11" t="n"/>
      <c r="E38" s="11" t="n"/>
      <c r="F38" s="11" t="n"/>
      <c r="G38" s="11" t="n"/>
      <c r="H38" s="28">
        <f>IF(COUNT(D38:G38)&lt;4,"",AVERAGE(D38:G38)/5*100)</f>
        <v/>
      </c>
    </row>
    <row r="39">
      <c r="A39" s="8" t="n">
        <v>23</v>
      </c>
      <c r="B39" s="12">
        <f>IF(Rekap!$B$43="","",Rekap!$B$43)</f>
        <v/>
      </c>
      <c r="C39" s="12">
        <f>IF(Rekap!$D$43="","",Rekap!$D$43)</f>
        <v/>
      </c>
      <c r="D39" s="11" t="n"/>
      <c r="E39" s="11" t="n"/>
      <c r="F39" s="11" t="n"/>
      <c r="G39" s="11" t="n"/>
      <c r="H39" s="28">
        <f>IF(COUNT(D39:G39)&lt;4,"",AVERAGE(D39:G39)/5*100)</f>
        <v/>
      </c>
    </row>
    <row r="40">
      <c r="A40" s="8" t="n">
        <v>24</v>
      </c>
      <c r="B40" s="12">
        <f>IF(Rekap!$B$44="","",Rekap!$B$44)</f>
        <v/>
      </c>
      <c r="C40" s="12">
        <f>IF(Rekap!$D$44="","",Rekap!$D$44)</f>
        <v/>
      </c>
      <c r="D40" s="11" t="n"/>
      <c r="E40" s="11" t="n"/>
      <c r="F40" s="11" t="n"/>
      <c r="G40" s="11" t="n"/>
      <c r="H40" s="28">
        <f>IF(COUNT(D40:G40)&lt;4,"",AVERAGE(D40:G40)/5*100)</f>
        <v/>
      </c>
    </row>
    <row r="41">
      <c r="A41" s="8" t="n">
        <v>25</v>
      </c>
      <c r="B41" s="12">
        <f>IF(Rekap!$B$45="","",Rekap!$B$45)</f>
        <v/>
      </c>
      <c r="C41" s="12">
        <f>IF(Rekap!$D$45="","",Rekap!$D$45)</f>
        <v/>
      </c>
      <c r="D41" s="11" t="n"/>
      <c r="E41" s="11" t="n"/>
      <c r="F41" s="11" t="n"/>
      <c r="G41" s="11" t="n"/>
      <c r="H41" s="28">
        <f>IF(COUNT(D41:G41)&lt;4,"",AVERAGE(D41:G41)/5*100)</f>
        <v/>
      </c>
    </row>
    <row r="42">
      <c r="A42" s="8" t="n">
        <v>26</v>
      </c>
      <c r="B42" s="12">
        <f>IF(Rekap!$B$46="","",Rekap!$B$46)</f>
        <v/>
      </c>
      <c r="C42" s="12">
        <f>IF(Rekap!$D$46="","",Rekap!$D$46)</f>
        <v/>
      </c>
      <c r="D42" s="11" t="n"/>
      <c r="E42" s="11" t="n"/>
      <c r="F42" s="11" t="n"/>
      <c r="G42" s="11" t="n"/>
      <c r="H42" s="28">
        <f>IF(COUNT(D42:G42)&lt;4,"",AVERAGE(D42:G42)/5*100)</f>
        <v/>
      </c>
    </row>
    <row r="43">
      <c r="A43" s="8" t="n">
        <v>27</v>
      </c>
      <c r="B43" s="12">
        <f>IF(Rekap!$B$47="","",Rekap!$B$47)</f>
        <v/>
      </c>
      <c r="C43" s="12">
        <f>IF(Rekap!$D$47="","",Rekap!$D$47)</f>
        <v/>
      </c>
      <c r="D43" s="11" t="n"/>
      <c r="E43" s="11" t="n"/>
      <c r="F43" s="11" t="n"/>
      <c r="G43" s="11" t="n"/>
      <c r="H43" s="28">
        <f>IF(COUNT(D43:G43)&lt;4,"",AVERAGE(D43:G43)/5*100)</f>
        <v/>
      </c>
    </row>
    <row r="44">
      <c r="A44" s="8" t="n">
        <v>28</v>
      </c>
      <c r="B44" s="12">
        <f>IF(Rekap!$B$48="","",Rekap!$B$48)</f>
        <v/>
      </c>
      <c r="C44" s="12">
        <f>IF(Rekap!$D$48="","",Rekap!$D$48)</f>
        <v/>
      </c>
      <c r="D44" s="11" t="n"/>
      <c r="E44" s="11" t="n"/>
      <c r="F44" s="11" t="n"/>
      <c r="G44" s="11" t="n"/>
      <c r="H44" s="28">
        <f>IF(COUNT(D44:G44)&lt;4,"",AVERAGE(D44:G44)/5*100)</f>
        <v/>
      </c>
    </row>
    <row r="45">
      <c r="A45" s="8" t="n">
        <v>29</v>
      </c>
      <c r="B45" s="12">
        <f>IF(Rekap!$B$49="","",Rekap!$B$49)</f>
        <v/>
      </c>
      <c r="C45" s="12">
        <f>IF(Rekap!$D$49="","",Rekap!$D$49)</f>
        <v/>
      </c>
      <c r="D45" s="11" t="n"/>
      <c r="E45" s="11" t="n"/>
      <c r="F45" s="11" t="n"/>
      <c r="G45" s="11" t="n"/>
      <c r="H45" s="28">
        <f>IF(COUNT(D45:G45)&lt;4,"",AVERAGE(D45:G45)/5*100)</f>
        <v/>
      </c>
    </row>
    <row r="46">
      <c r="A46" s="8" t="n">
        <v>30</v>
      </c>
      <c r="B46" s="12">
        <f>IF(Rekap!$B$50="","",Rekap!$B$50)</f>
        <v/>
      </c>
      <c r="C46" s="12">
        <f>IF(Rekap!$D$50="","",Rekap!$D$50)</f>
        <v/>
      </c>
      <c r="D46" s="11" t="n"/>
      <c r="E46" s="11" t="n"/>
      <c r="F46" s="11" t="n"/>
      <c r="G46" s="11" t="n"/>
      <c r="H46" s="28">
        <f>IF(COUNT(D46:G46)&lt;4,"",AVERAGE(D46:G46)/5*100)</f>
        <v/>
      </c>
    </row>
    <row r="47">
      <c r="A47" s="14" t="inlineStr">
        <is>
          <t>Rata-rata Kelas</t>
        </is>
      </c>
      <c r="B47" s="13" t="n"/>
      <c r="C47" s="13" t="n"/>
      <c r="D47" s="13" t="n"/>
      <c r="E47" s="13" t="n"/>
      <c r="F47" s="13" t="n"/>
      <c r="G47" s="13" t="n"/>
      <c r="H47" s="28">
        <f>IFERROR(AVERAGE(H17:H46),"")</f>
        <v/>
      </c>
    </row>
    <row r="49" ht="15.75" customHeight="1">
      <c r="A49" s="7" t="inlineStr">
        <is>
          <t>Rubrik Acuan Penilaian Tim</t>
        </is>
      </c>
    </row>
    <row r="50">
      <c r="A50" s="4" t="inlineStr">
        <is>
          <t>Kriteria</t>
        </is>
      </c>
      <c r="B50" s="4" t="inlineStr">
        <is>
          <t>Bobot</t>
        </is>
      </c>
      <c r="C50" s="4" t="inlineStr">
        <is>
          <t>Level 1 (Sangat Kurang)</t>
        </is>
      </c>
      <c r="D50" s="4" t="inlineStr">
        <is>
          <t>Level 2 (Kurang)</t>
        </is>
      </c>
      <c r="E50" s="4" t="inlineStr">
        <is>
          <t>Level 3 (Cukup)</t>
        </is>
      </c>
      <c r="F50" s="4" t="inlineStr">
        <is>
          <t>Level 4 (Baik)</t>
        </is>
      </c>
      <c r="G50" s="4" t="inlineStr">
        <is>
          <t>Level 5 (Sangat Baik)</t>
        </is>
      </c>
    </row>
    <row r="51" ht="60" customHeight="1">
      <c r="A51" s="15" t="inlineStr">
        <is>
          <t>Progres Pengembangan Sesuai Rencana Proposal</t>
        </is>
      </c>
      <c r="B51" s="5" t="n">
        <v>0.225</v>
      </c>
      <c r="C51" s="16" t="inlineStr">
        <is>
          <t>Tidak ada progres yang dapat ditunjukkan atau progres jauh menyimpang dari rencana proposal.</t>
        </is>
      </c>
      <c r="D51" s="16" t="inlineStr">
        <is>
          <t>Progres menunjukkan capaian minim, banyak menyimpang dari rencana.</t>
        </is>
      </c>
      <c r="E51" s="16" t="inlineStr">
        <is>
          <t>Progres menunjukkan capaian sesuai sebagian besar rencana proposal.</t>
        </is>
      </c>
      <c r="F51" s="16" t="inlineStr">
        <is>
          <t>Progres sesuai rencana proposal dengan sebagian besar fitur inti mulai berjalan.</t>
        </is>
      </c>
      <c r="G51" s="16" t="inlineStr">
        <is>
          <t>Progres sesuai atau melebihi rencana proposal, fitur inti berjalan stabil sesuai target minggu ke-8.</t>
        </is>
      </c>
    </row>
    <row r="52" ht="60" customHeight="1">
      <c r="A52" s="15" t="inlineStr">
        <is>
          <t>Kelengkapan CRUD dan Validasi Input (SCPMK0202-04002)</t>
        </is>
      </c>
      <c r="B52" s="5" t="n">
        <v>0.225</v>
      </c>
      <c r="C52" s="16" t="inlineStr">
        <is>
          <t>CRUD tidak berjalan utuh atau data tidak tersimpan dengan benar.</t>
        </is>
      </c>
      <c r="D52" s="16" t="inlineStr">
        <is>
          <t>CRUD utama berjalan sebagian, validasi dan penanganan error belum diterapkan.</t>
        </is>
      </c>
      <c r="E52" s="16" t="inlineStr">
        <is>
          <t>CRUD utama berjalan tetapi validasi atau penanganan error belum lengkap.</t>
        </is>
      </c>
      <c r="F52" s="16" t="inlineStr">
        <is>
          <t>CRUD berjalan lengkap, validasi input diterapkan namun penanganan error belum konsisten.</t>
        </is>
      </c>
      <c r="G52" s="16" t="inlineStr">
        <is>
          <t>Create, read, update, delete, validasi input, flash message, dan penanganan error berjalan lengkap.</t>
        </is>
      </c>
    </row>
    <row r="53" ht="60" customHeight="1">
      <c r="A53" s="15" t="inlineStr">
        <is>
          <t>Kualitas Arsitektur MVC dan Struktur Basis Data (SCPMK0202-04001)</t>
        </is>
      </c>
      <c r="B53" s="5" t="n">
        <v>0.225</v>
      </c>
      <c r="C53" s="16" t="inlineStr">
        <is>
          <t>Kode tidak mengikuti arsitektur MVC atau sulit dipelihara.</t>
        </is>
      </c>
      <c r="D53" s="16" t="inlineStr">
        <is>
          <t>Struktur MVC diterapkan sebagian, logika masih banyak bercampur antar layer.</t>
        </is>
      </c>
      <c r="E53" s="16" t="inlineStr">
        <is>
          <t>Struktur cukup mengikuti arsitektur MVC tetapi masih ada logika bercampur atau konvensi tidak konsisten.</t>
        </is>
      </c>
      <c r="F53" s="16" t="inlineStr">
        <is>
          <t>Route, controller, model, migrasi, dan view terpisah cukup rapi dengan sedikit inkonsistensi konvensi.</t>
        </is>
      </c>
      <c r="G53" s="16" t="inlineStr">
        <is>
          <t>Route, controller, model, migrasi, seeder, dan view dipisahkan rapi mengikuti konvensi framework yang digunakan.</t>
        </is>
      </c>
    </row>
    <row r="54" ht="60" customHeight="1">
      <c r="A54" s="15" t="inlineStr">
        <is>
          <t>Autentikasi dan Otorisasi Peran (SCPMK0202-04003)</t>
        </is>
      </c>
      <c r="B54" s="5" t="n">
        <v>0.225</v>
      </c>
      <c r="C54" s="16" t="inlineStr">
        <is>
          <t>Autentikasi/otorisasi tidak berjalan atau route penting tidak terlindungi.</t>
        </is>
      </c>
      <c r="D54" s="16" t="inlineStr">
        <is>
          <t>Autentikasi berjalan namun manajemen peran belum diterapkan.</t>
        </is>
      </c>
      <c r="E54" s="16" t="inlineStr">
        <is>
          <t>Autentikasi berjalan tetapi manajemen peran, proteksi route, atau akses data masih memiliki celah.</t>
        </is>
      </c>
      <c r="F54" s="16" t="inlineStr">
        <is>
          <t>Login, logout, dan manajemen peran berjalan, proteksi route sebagian besar diterapkan.</t>
        </is>
      </c>
      <c r="G54" s="16" t="inlineStr">
        <is>
          <t>Login, logout, manajemen peran/hak akses, proteksi route, dan akses data diterapkan sesuai skenario.</t>
        </is>
      </c>
    </row>
    <row r="55" ht="60" customHeight="1">
      <c r="A55" s="15" t="inlineStr">
        <is>
          <t>Kesiapan Menjelaskan Keputusan Teknis</t>
        </is>
      </c>
      <c r="B55" s="5" t="n">
        <v>0.1</v>
      </c>
      <c r="C55" s="16" t="inlineStr">
        <is>
          <t>Tidak ada pengujian bermakna dan tim tidak mampu menjelaskan modul yang dikerjakan.</t>
        </is>
      </c>
      <c r="D55" s="16" t="inlineStr">
        <is>
          <t>Pengujian sangat terbatas, penjelasan keputusan teknis kurang meyakinkan.</t>
        </is>
      </c>
      <c r="E55" s="16" t="inlineStr">
        <is>
          <t>Pengujian dilakukan terbatas atau penjelasan belum mencakup semua keputusan teknis.</t>
        </is>
      </c>
      <c r="F55" s="16" t="inlineStr">
        <is>
          <t>Skenario pengujian utama dilakukan, sebagian besar keputusan teknis dapat dijelaskan.</t>
        </is>
      </c>
      <c r="G55" s="16" t="inlineStr">
        <is>
          <t>Skenario pengujian normal/invalid dilakukan, data diverifikasi, dan keputusan teknis dijelaskan dengan baik.</t>
        </is>
      </c>
    </row>
    <row r="56">
      <c r="A56" s="17" t="inlineStr">
        <is>
          <t>Total Bobot</t>
        </is>
      </c>
      <c r="B56" s="6">
        <f>SUM(B51:B55)</f>
        <v/>
      </c>
      <c r="C56" s="13" t="n"/>
      <c r="D56" s="13" t="n"/>
      <c r="E56" s="13" t="n"/>
      <c r="F56" s="13" t="n"/>
      <c r="G56" s="13" t="n"/>
    </row>
    <row r="58" ht="15.75" customHeight="1">
      <c r="A58" s="7" t="inlineStr">
        <is>
          <t>Rubrik Acuan Penilaian Individu (bobot tiap kriteria setara)</t>
        </is>
      </c>
    </row>
    <row r="59">
      <c r="A59" s="4" t="inlineStr">
        <is>
          <t>Kriteria</t>
        </is>
      </c>
      <c r="B59" s="4" t="inlineStr">
        <is>
          <t>Level 1 (Sangat Kurang)</t>
        </is>
      </c>
      <c r="C59" s="4" t="inlineStr">
        <is>
          <t>Level 2 (Kurang)</t>
        </is>
      </c>
      <c r="D59" s="4" t="inlineStr">
        <is>
          <t>Level 3 (Cukup)</t>
        </is>
      </c>
      <c r="E59" s="4" t="inlineStr">
        <is>
          <t>Level 4 (Baik)</t>
        </is>
      </c>
      <c r="F59" s="4" t="inlineStr">
        <is>
          <t>Level 5 (Sangat Baik)</t>
        </is>
      </c>
    </row>
    <row r="60" ht="60" customHeight="1">
      <c r="A60" s="15" t="inlineStr">
        <is>
          <t>Kontribusi terhadap Pekerjaan Tim</t>
        </is>
      </c>
      <c r="B60" s="16" t="inlineStr">
        <is>
          <t>Tidak berkontribusi pada pekerjaan tim pada tahap ini.</t>
        </is>
      </c>
      <c r="C60" s="16" t="inlineStr">
        <is>
          <t>Kontribusi sangat minim dibanding anggota lain.</t>
        </is>
      </c>
      <c r="D60" s="16" t="inlineStr">
        <is>
          <t>Berkontribusi cukup pada bagian pekerjaan yang menjadi tanggung jawabnya.</t>
        </is>
      </c>
      <c r="E60" s="16" t="inlineStr">
        <is>
          <t>Berkontribusi jelas pada bagian pekerjaan yang menjadi tanggung jawabnya.</t>
        </is>
      </c>
      <c r="F60" s="16" t="inlineStr">
        <is>
          <t>Berkontribusi signifikan pada bagian pekerjaan yang menjadi tanggung jawabnya, sesuai peran dalam tim.</t>
        </is>
      </c>
    </row>
    <row r="61" ht="60" customHeight="1">
      <c r="A61" s="15" t="inlineStr">
        <is>
          <t>Kualitas Hasil Kerja yang Dikerjakan</t>
        </is>
      </c>
      <c r="B61" s="16" t="inlineStr">
        <is>
          <t>Hasil kerja yang dikerjakan tidak berfungsi atau tidak dapat digunakan.</t>
        </is>
      </c>
      <c r="C61" s="16" t="inlineStr">
        <is>
          <t>Hasil kerja berfungsi sebagian, banyak kekurangan pada bagian yang ia kerjakan.</t>
        </is>
      </c>
      <c r="D61" s="16" t="inlineStr">
        <is>
          <t>Hasil kerja yang dikerjakan berfungsi cukup baik, namun ada kekurangan pada sebagian aspek.</t>
        </is>
      </c>
      <c r="E61" s="16" t="inlineStr">
        <is>
          <t>Hasil kerja yang dikerjakan berfungsi dengan baik, sebagian kecil kekurangan mudah diperbaiki.</t>
        </is>
      </c>
      <c r="F61" s="16" t="inlineStr">
        <is>
          <t>Hasil kerja yang dikerjakan berfungsi dengan baik dan rapi, sesuai standar kualitas tim.</t>
        </is>
      </c>
    </row>
    <row r="62" ht="60" customHeight="1">
      <c r="A62" s="15" t="inlineStr">
        <is>
          <t>Pemahaman Teknis atas Bagian yang Dikerjakan</t>
        </is>
      </c>
      <c r="B62" s="16" t="inlineStr">
        <is>
          <t>Tidak memahami bagian yang seharusnya dikerjakan.</t>
        </is>
      </c>
      <c r="C62" s="16" t="inlineStr">
        <is>
          <t>Memahami sebagian kecil bagian yang dikerjakan.</t>
        </is>
      </c>
      <c r="D62" s="16" t="inlineStr">
        <is>
          <t>Memahami sebagian besar bagian yang dikerjakan, namun kurang konsisten.</t>
        </is>
      </c>
      <c r="E62" s="16" t="inlineStr">
        <is>
          <t>Memahami bagian yang dikerjakan dengan baik.</t>
        </is>
      </c>
      <c r="F62" s="16" t="inlineStr">
        <is>
          <t>Memahami bagian yang dikerjakan secara menyeluruh, termasuk keterkaitannya dengan bagian tim yang lain.</t>
        </is>
      </c>
    </row>
    <row r="63" ht="60" customHeight="1">
      <c r="A63" s="15" t="inlineStr">
        <is>
          <t>Kesiapan Menjelaskan Bagian yang Dikerjakan</t>
        </is>
      </c>
      <c r="B63" s="16" t="inlineStr">
        <is>
          <t>Tidak mampu menjelaskan bagian yang dikerjakan.</t>
        </is>
      </c>
      <c r="C63" s="16" t="inlineStr">
        <is>
          <t>Penjelasan sangat terbatas dan kurang meyakinkan.</t>
        </is>
      </c>
      <c r="D63" s="16" t="inlineStr">
        <is>
          <t>Mampu menjelaskan sebagian bagian yang dikerjakan, namun belum konsisten.</t>
        </is>
      </c>
      <c r="E63" s="16" t="inlineStr">
        <is>
          <t>Mampu menjelaskan sebagian besar bagian yang dikerjakan dengan cukup jelas.</t>
        </is>
      </c>
      <c r="F63" s="16" t="inlineStr">
        <is>
          <t>Mampu menjelaskan bagian yang dikerjakan secara jelas dan meyakinkan.</t>
        </is>
      </c>
    </row>
  </sheetData>
  <mergeCells count="6">
    <mergeCell ref="A4:H4"/>
    <mergeCell ref="A15:H15"/>
    <mergeCell ref="A2:H2"/>
    <mergeCell ref="A58:F58"/>
    <mergeCell ref="A1:H1"/>
    <mergeCell ref="A49:G49"/>
  </mergeCells>
  <conditionalFormatting sqref="B56">
    <cfRule type="cellIs" priority="1" operator="notEqual" dxfId="0">
      <formula>1</formula>
    </cfRule>
  </conditionalFormatting>
  <dataValidations count="1">
    <dataValidation sqref="B7 B8 B9 B10 B11 B12 C7 C8 C9 C10 C11 C12 D7 D8 D9 D10 D11 D12 D17 D18 D19 D20 D21 D22 D23 D24 D25 D26 D27 D28 D29 D30 D31 D32 D33 D34 D35 D36 D37 D38 D39 D40 D41 D42 D43 D44 D45 D46 E7 E8 E9 E10 E11 E12 E17 E18 E19 E20 E21 E22 E23 E24 E25 E26 E27 E28 E29 E30 E31 E32 E33 E34 E35 E36 E37 E38 E39 E40 E41 E42 E43 E44 E45 E46 F7 F8 F9 F10 F11 F12 F17 F18 F19 F20 F21 F22 F23 F24 F25 F26 F27 F28 F29 F30 F31 F32 F33 F34 F35 F36 F37 F38 F39 F40 F41 F42 F43 F44 F45 F46 G17 G18 G19 G20 G21 G22 G23 G24 G25 G26 G27 G28 G29 G30 G31 G32 G33 G34 G35 G36 G37 G38 G39 G40 G41 G42 G43 G44 G45 G46" showDropDown="0" showInputMessage="0" showErrorMessage="1" allowBlank="1" errorTitle="Skor tidak valid" error="Pilih skor 1 sampai 5 dari daftar dropdown."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3"/>
  <sheetViews>
    <sheetView showGridLines="0" workbookViewId="0">
      <pane xSplit="1" ySplit="6" topLeftCell="B7" activePane="bottomRight" state="frozen"/>
      <selection activeCell="A1" sqref="A1"/>
      <selection pane="topRight" activeCell="A1" sqref="A1"/>
      <selection pane="bottomLeft" activeCell="A1" sqref="A1"/>
      <selection pane="bottomRight" activeCell="A1" sqref="A1:H1"/>
    </sheetView>
  </sheetViews>
  <sheetFormatPr baseColWidth="8" defaultColWidth="9" defaultRowHeight="15"/>
  <cols>
    <col width="26" customWidth="1" min="1" max="2"/>
    <col width="30" customWidth="1" min="3" max="7"/>
    <col width="16" customWidth="1" min="8" max="8"/>
  </cols>
  <sheetData>
    <row r="1" ht="21" customHeight="1">
      <c r="A1" s="1" t="inlineStr">
        <is>
          <t>Rubrik Penilaian - Checkpoint Milestone 2 (Minggu 12)</t>
        </is>
      </c>
    </row>
    <row r="2">
      <c r="A2" s="2" t="inlineStr">
        <is>
          <t>Nilai tim dan nilai individu diisi di bawah ini; rubrik acuan skor 1-5 ada di bagian bawah sheet ini.</t>
        </is>
      </c>
    </row>
    <row r="4" ht="15.75" customHeight="1">
      <c r="A4" s="7" t="inlineStr">
        <is>
          <t>Penilaian Tim (skor 1-5 per kriteria)</t>
        </is>
      </c>
    </row>
    <row r="5">
      <c r="A5" s="3" t="inlineStr">
        <is>
          <t>Bobot (acuan)</t>
        </is>
      </c>
      <c r="B5" s="6">
        <f>B51</f>
        <v/>
      </c>
      <c r="C5" s="6">
        <f>B52</f>
        <v/>
      </c>
      <c r="D5" s="6">
        <f>B53</f>
        <v/>
      </c>
      <c r="E5" s="6">
        <f>B54</f>
        <v/>
      </c>
      <c r="F5" s="6">
        <f>B55</f>
        <v/>
      </c>
      <c r="G5" s="13" t="n"/>
      <c r="H5" s="13" t="n"/>
    </row>
    <row r="6" ht="25.5" customHeight="1">
      <c r="A6" s="4" t="inlineStr">
        <is>
          <t>Nama Tim</t>
        </is>
      </c>
      <c r="B6" s="4" t="inlineStr">
        <is>
          <t>Progres Pengembangan Sesuai Rencana</t>
        </is>
      </c>
      <c r="C6" s="4" t="inlineStr">
        <is>
          <t>Pengolahan Data dan Import/Export (SCPMK0202-04004)</t>
        </is>
      </c>
      <c r="D6" s="4" t="inlineStr">
        <is>
          <t>Desain dan Implementasi API (SCPMK0202-04003)</t>
        </is>
      </c>
      <c r="E6" s="4" t="inlineStr">
        <is>
          <t>Konsumsi API dari Sisi Klien</t>
        </is>
      </c>
      <c r="F6" s="4" t="inlineStr">
        <is>
          <t>Integrasi Fitur dan Perencanaan Teknis Lanjutan</t>
        </is>
      </c>
      <c r="G6" s="4" t="inlineStr">
        <is>
          <t>Rata Tertimbang (1-5)</t>
        </is>
      </c>
      <c r="H6" s="4" t="inlineStr">
        <is>
          <t>Nilai (0-100)</t>
        </is>
      </c>
    </row>
    <row r="7">
      <c r="A7" s="12">
        <f>Rekap!$B$12</f>
        <v/>
      </c>
      <c r="B7" s="11" t="n"/>
      <c r="C7" s="11" t="n"/>
      <c r="D7" s="11" t="n"/>
      <c r="E7" s="11" t="n"/>
      <c r="F7" s="11" t="n"/>
      <c r="G7" s="18">
        <f>IF(COUNT(B7:F7)&lt;5,"",SUMPRODUCT(B7:F7,B$5:F$5)/SUM(B$5:F$5))</f>
        <v/>
      </c>
      <c r="H7" s="28">
        <f>IF(G7="","",G7/5*100)</f>
        <v/>
      </c>
    </row>
    <row r="8">
      <c r="A8" s="12">
        <f>Rekap!$B$13</f>
        <v/>
      </c>
      <c r="B8" s="11" t="n"/>
      <c r="C8" s="11" t="n"/>
      <c r="D8" s="11" t="n"/>
      <c r="E8" s="11" t="n"/>
      <c r="F8" s="11" t="n"/>
      <c r="G8" s="18">
        <f>IF(COUNT(B8:F8)&lt;5,"",SUMPRODUCT(B8:F8,B$5:F$5)/SUM(B$5:F$5))</f>
        <v/>
      </c>
      <c r="H8" s="28">
        <f>IF(G8="","",G8/5*100)</f>
        <v/>
      </c>
    </row>
    <row r="9">
      <c r="A9" s="12">
        <f>Rekap!$B$14</f>
        <v/>
      </c>
      <c r="B9" s="11" t="n"/>
      <c r="C9" s="11" t="n"/>
      <c r="D9" s="11" t="n"/>
      <c r="E9" s="11" t="n"/>
      <c r="F9" s="11" t="n"/>
      <c r="G9" s="18">
        <f>IF(COUNT(B9:F9)&lt;5,"",SUMPRODUCT(B9:F9,B$5:F$5)/SUM(B$5:F$5))</f>
        <v/>
      </c>
      <c r="H9" s="28">
        <f>IF(G9="","",G9/5*100)</f>
        <v/>
      </c>
    </row>
    <row r="10">
      <c r="A10" s="12">
        <f>Rekap!$B$15</f>
        <v/>
      </c>
      <c r="B10" s="11" t="n"/>
      <c r="C10" s="11" t="n"/>
      <c r="D10" s="11" t="n"/>
      <c r="E10" s="11" t="n"/>
      <c r="F10" s="11" t="n"/>
      <c r="G10" s="18">
        <f>IF(COUNT(B10:F10)&lt;5,"",SUMPRODUCT(B10:F10,B$5:F$5)/SUM(B$5:F$5))</f>
        <v/>
      </c>
      <c r="H10" s="28">
        <f>IF(G10="","",G10/5*100)</f>
        <v/>
      </c>
    </row>
    <row r="11">
      <c r="A11" s="12">
        <f>Rekap!$B$16</f>
        <v/>
      </c>
      <c r="B11" s="11" t="n"/>
      <c r="C11" s="11" t="n"/>
      <c r="D11" s="11" t="n"/>
      <c r="E11" s="11" t="n"/>
      <c r="F11" s="11" t="n"/>
      <c r="G11" s="18">
        <f>IF(COUNT(B11:F11)&lt;5,"",SUMPRODUCT(B11:F11,B$5:F$5)/SUM(B$5:F$5))</f>
        <v/>
      </c>
      <c r="H11" s="28">
        <f>IF(G11="","",G11/5*100)</f>
        <v/>
      </c>
    </row>
    <row r="12">
      <c r="A12" s="12">
        <f>Rekap!$B$17</f>
        <v/>
      </c>
      <c r="B12" s="11" t="n"/>
      <c r="C12" s="11" t="n"/>
      <c r="D12" s="11" t="n"/>
      <c r="E12" s="11" t="n"/>
      <c r="F12" s="11" t="n"/>
      <c r="G12" s="18">
        <f>IF(COUNT(B12:F12)&lt;5,"",SUMPRODUCT(B12:F12,B$5:F$5)/SUM(B$5:F$5))</f>
        <v/>
      </c>
      <c r="H12" s="28">
        <f>IF(G12="","",G12/5*100)</f>
        <v/>
      </c>
    </row>
    <row r="13">
      <c r="A13" s="3" t="inlineStr">
        <is>
          <t>Rata-rata Kelas</t>
        </is>
      </c>
      <c r="B13" s="13" t="n"/>
      <c r="C13" s="13" t="n"/>
      <c r="D13" s="13" t="n"/>
      <c r="E13" s="13" t="n"/>
      <c r="F13" s="13" t="n"/>
      <c r="G13" s="13" t="n"/>
      <c r="H13" s="28">
        <f>IFERROR(AVERAGE(H7:H12),"")</f>
        <v/>
      </c>
    </row>
    <row r="15" ht="15.75" customHeight="1">
      <c r="A15" s="7" t="inlineStr">
        <is>
          <t>Penilaian Individu (skor 1-5 per kriteria)</t>
        </is>
      </c>
    </row>
    <row r="16" ht="25.5" customHeight="1">
      <c r="A16" s="4" t="inlineStr">
        <is>
          <t>No</t>
        </is>
      </c>
      <c r="B16" s="4" t="inlineStr">
        <is>
          <t>Nama Mahasiswa</t>
        </is>
      </c>
      <c r="C16" s="4" t="inlineStr">
        <is>
          <t>Tim</t>
        </is>
      </c>
      <c r="D16" s="4" t="inlineStr">
        <is>
          <t>Kontribusi terhadap Pekerjaan Tim</t>
        </is>
      </c>
      <c r="E16" s="4" t="inlineStr">
        <is>
          <t>Kualitas Hasil Kerja yang Dikerjakan</t>
        </is>
      </c>
      <c r="F16" s="4" t="inlineStr">
        <is>
          <t>Pemahaman Teknis atas Bagian yang Dikerjakan</t>
        </is>
      </c>
      <c r="G16" s="4" t="inlineStr">
        <is>
          <t>Kesiapan Menjelaskan Bagian yang Dikerjakan</t>
        </is>
      </c>
      <c r="H16" s="4" t="inlineStr">
        <is>
          <t>Nilai Individu (0-100)</t>
        </is>
      </c>
    </row>
    <row r="17">
      <c r="A17" s="8" t="n">
        <v>1</v>
      </c>
      <c r="B17" s="12">
        <f>IF(Rekap!$B$21="","",Rekap!$B$21)</f>
        <v/>
      </c>
      <c r="C17" s="12">
        <f>IF(Rekap!$D$21="","",Rekap!$D$21)</f>
        <v/>
      </c>
      <c r="D17" s="11" t="n"/>
      <c r="E17" s="11" t="n"/>
      <c r="F17" s="11" t="n"/>
      <c r="G17" s="11" t="n"/>
      <c r="H17" s="28">
        <f>IF(COUNT(D17:G17)&lt;4,"",AVERAGE(D17:G17)/5*100)</f>
        <v/>
      </c>
    </row>
    <row r="18">
      <c r="A18" s="8" t="n">
        <v>2</v>
      </c>
      <c r="B18" s="12">
        <f>IF(Rekap!$B$22="","",Rekap!$B$22)</f>
        <v/>
      </c>
      <c r="C18" s="12">
        <f>IF(Rekap!$D$22="","",Rekap!$D$22)</f>
        <v/>
      </c>
      <c r="D18" s="11" t="n"/>
      <c r="E18" s="11" t="n"/>
      <c r="F18" s="11" t="n"/>
      <c r="G18" s="11" t="n"/>
      <c r="H18" s="28">
        <f>IF(COUNT(D18:G18)&lt;4,"",AVERAGE(D18:G18)/5*100)</f>
        <v/>
      </c>
    </row>
    <row r="19">
      <c r="A19" s="8" t="n">
        <v>3</v>
      </c>
      <c r="B19" s="12">
        <f>IF(Rekap!$B$23="","",Rekap!$B$23)</f>
        <v/>
      </c>
      <c r="C19" s="12">
        <f>IF(Rekap!$D$23="","",Rekap!$D$23)</f>
        <v/>
      </c>
      <c r="D19" s="11" t="n"/>
      <c r="E19" s="11" t="n"/>
      <c r="F19" s="11" t="n"/>
      <c r="G19" s="11" t="n"/>
      <c r="H19" s="28">
        <f>IF(COUNT(D19:G19)&lt;4,"",AVERAGE(D19:G19)/5*100)</f>
        <v/>
      </c>
    </row>
    <row r="20">
      <c r="A20" s="8" t="n">
        <v>4</v>
      </c>
      <c r="B20" s="12">
        <f>IF(Rekap!$B$24="","",Rekap!$B$24)</f>
        <v/>
      </c>
      <c r="C20" s="12">
        <f>IF(Rekap!$D$24="","",Rekap!$D$24)</f>
        <v/>
      </c>
      <c r="D20" s="11" t="n"/>
      <c r="E20" s="11" t="n"/>
      <c r="F20" s="11" t="n"/>
      <c r="G20" s="11" t="n"/>
      <c r="H20" s="28">
        <f>IF(COUNT(D20:G20)&lt;4,"",AVERAGE(D20:G20)/5*100)</f>
        <v/>
      </c>
    </row>
    <row r="21">
      <c r="A21" s="8" t="n">
        <v>5</v>
      </c>
      <c r="B21" s="12">
        <f>IF(Rekap!$B$25="","",Rekap!$B$25)</f>
        <v/>
      </c>
      <c r="C21" s="12">
        <f>IF(Rekap!$D$25="","",Rekap!$D$25)</f>
        <v/>
      </c>
      <c r="D21" s="11" t="n"/>
      <c r="E21" s="11" t="n"/>
      <c r="F21" s="11" t="n"/>
      <c r="G21" s="11" t="n"/>
      <c r="H21" s="28">
        <f>IF(COUNT(D21:G21)&lt;4,"",AVERAGE(D21:G21)/5*100)</f>
        <v/>
      </c>
    </row>
    <row r="22">
      <c r="A22" s="8" t="n">
        <v>6</v>
      </c>
      <c r="B22" s="12">
        <f>IF(Rekap!$B$26="","",Rekap!$B$26)</f>
        <v/>
      </c>
      <c r="C22" s="12">
        <f>IF(Rekap!$D$26="","",Rekap!$D$26)</f>
        <v/>
      </c>
      <c r="D22" s="11" t="n"/>
      <c r="E22" s="11" t="n"/>
      <c r="F22" s="11" t="n"/>
      <c r="G22" s="11" t="n"/>
      <c r="H22" s="28">
        <f>IF(COUNT(D22:G22)&lt;4,"",AVERAGE(D22:G22)/5*100)</f>
        <v/>
      </c>
    </row>
    <row r="23">
      <c r="A23" s="8" t="n">
        <v>7</v>
      </c>
      <c r="B23" s="12">
        <f>IF(Rekap!$B$27="","",Rekap!$B$27)</f>
        <v/>
      </c>
      <c r="C23" s="12">
        <f>IF(Rekap!$D$27="","",Rekap!$D$27)</f>
        <v/>
      </c>
      <c r="D23" s="11" t="n"/>
      <c r="E23" s="11" t="n"/>
      <c r="F23" s="11" t="n"/>
      <c r="G23" s="11" t="n"/>
      <c r="H23" s="28">
        <f>IF(COUNT(D23:G23)&lt;4,"",AVERAGE(D23:G23)/5*100)</f>
        <v/>
      </c>
    </row>
    <row r="24">
      <c r="A24" s="8" t="n">
        <v>8</v>
      </c>
      <c r="B24" s="12">
        <f>IF(Rekap!$B$28="","",Rekap!$B$28)</f>
        <v/>
      </c>
      <c r="C24" s="12">
        <f>IF(Rekap!$D$28="","",Rekap!$D$28)</f>
        <v/>
      </c>
      <c r="D24" s="11" t="n"/>
      <c r="E24" s="11" t="n"/>
      <c r="F24" s="11" t="n"/>
      <c r="G24" s="11" t="n"/>
      <c r="H24" s="28">
        <f>IF(COUNT(D24:G24)&lt;4,"",AVERAGE(D24:G24)/5*100)</f>
        <v/>
      </c>
    </row>
    <row r="25">
      <c r="A25" s="8" t="n">
        <v>9</v>
      </c>
      <c r="B25" s="12">
        <f>IF(Rekap!$B$29="","",Rekap!$B$29)</f>
        <v/>
      </c>
      <c r="C25" s="12">
        <f>IF(Rekap!$D$29="","",Rekap!$D$29)</f>
        <v/>
      </c>
      <c r="D25" s="11" t="n"/>
      <c r="E25" s="11" t="n"/>
      <c r="F25" s="11" t="n"/>
      <c r="G25" s="11" t="n"/>
      <c r="H25" s="28">
        <f>IF(COUNT(D25:G25)&lt;4,"",AVERAGE(D25:G25)/5*100)</f>
        <v/>
      </c>
    </row>
    <row r="26">
      <c r="A26" s="8" t="n">
        <v>10</v>
      </c>
      <c r="B26" s="12">
        <f>IF(Rekap!$B$30="","",Rekap!$B$30)</f>
        <v/>
      </c>
      <c r="C26" s="12">
        <f>IF(Rekap!$D$30="","",Rekap!$D$30)</f>
        <v/>
      </c>
      <c r="D26" s="11" t="n"/>
      <c r="E26" s="11" t="n"/>
      <c r="F26" s="11" t="n"/>
      <c r="G26" s="11" t="n"/>
      <c r="H26" s="28">
        <f>IF(COUNT(D26:G26)&lt;4,"",AVERAGE(D26:G26)/5*100)</f>
        <v/>
      </c>
    </row>
    <row r="27">
      <c r="A27" s="8" t="n">
        <v>11</v>
      </c>
      <c r="B27" s="12">
        <f>IF(Rekap!$B$31="","",Rekap!$B$31)</f>
        <v/>
      </c>
      <c r="C27" s="12">
        <f>IF(Rekap!$D$31="","",Rekap!$D$31)</f>
        <v/>
      </c>
      <c r="D27" s="11" t="n"/>
      <c r="E27" s="11" t="n"/>
      <c r="F27" s="11" t="n"/>
      <c r="G27" s="11" t="n"/>
      <c r="H27" s="28">
        <f>IF(COUNT(D27:G27)&lt;4,"",AVERAGE(D27:G27)/5*100)</f>
        <v/>
      </c>
    </row>
    <row r="28">
      <c r="A28" s="8" t="n">
        <v>12</v>
      </c>
      <c r="B28" s="12">
        <f>IF(Rekap!$B$32="","",Rekap!$B$32)</f>
        <v/>
      </c>
      <c r="C28" s="12">
        <f>IF(Rekap!$D$32="","",Rekap!$D$32)</f>
        <v/>
      </c>
      <c r="D28" s="11" t="n"/>
      <c r="E28" s="11" t="n"/>
      <c r="F28" s="11" t="n"/>
      <c r="G28" s="11" t="n"/>
      <c r="H28" s="28">
        <f>IF(COUNT(D28:G28)&lt;4,"",AVERAGE(D28:G28)/5*100)</f>
        <v/>
      </c>
    </row>
    <row r="29">
      <c r="A29" s="8" t="n">
        <v>13</v>
      </c>
      <c r="B29" s="12">
        <f>IF(Rekap!$B$33="","",Rekap!$B$33)</f>
        <v/>
      </c>
      <c r="C29" s="12">
        <f>IF(Rekap!$D$33="","",Rekap!$D$33)</f>
        <v/>
      </c>
      <c r="D29" s="11" t="n"/>
      <c r="E29" s="11" t="n"/>
      <c r="F29" s="11" t="n"/>
      <c r="G29" s="11" t="n"/>
      <c r="H29" s="28">
        <f>IF(COUNT(D29:G29)&lt;4,"",AVERAGE(D29:G29)/5*100)</f>
        <v/>
      </c>
    </row>
    <row r="30">
      <c r="A30" s="8" t="n">
        <v>14</v>
      </c>
      <c r="B30" s="12">
        <f>IF(Rekap!$B$34="","",Rekap!$B$34)</f>
        <v/>
      </c>
      <c r="C30" s="12">
        <f>IF(Rekap!$D$34="","",Rekap!$D$34)</f>
        <v/>
      </c>
      <c r="D30" s="11" t="n"/>
      <c r="E30" s="11" t="n"/>
      <c r="F30" s="11" t="n"/>
      <c r="G30" s="11" t="n"/>
      <c r="H30" s="28">
        <f>IF(COUNT(D30:G30)&lt;4,"",AVERAGE(D30:G30)/5*100)</f>
        <v/>
      </c>
    </row>
    <row r="31">
      <c r="A31" s="8" t="n">
        <v>15</v>
      </c>
      <c r="B31" s="12">
        <f>IF(Rekap!$B$35="","",Rekap!$B$35)</f>
        <v/>
      </c>
      <c r="C31" s="12">
        <f>IF(Rekap!$D$35="","",Rekap!$D$35)</f>
        <v/>
      </c>
      <c r="D31" s="11" t="n"/>
      <c r="E31" s="11" t="n"/>
      <c r="F31" s="11" t="n"/>
      <c r="G31" s="11" t="n"/>
      <c r="H31" s="28">
        <f>IF(COUNT(D31:G31)&lt;4,"",AVERAGE(D31:G31)/5*100)</f>
        <v/>
      </c>
    </row>
    <row r="32">
      <c r="A32" s="8" t="n">
        <v>16</v>
      </c>
      <c r="B32" s="12">
        <f>IF(Rekap!$B$36="","",Rekap!$B$36)</f>
        <v/>
      </c>
      <c r="C32" s="12">
        <f>IF(Rekap!$D$36="","",Rekap!$D$36)</f>
        <v/>
      </c>
      <c r="D32" s="11" t="n"/>
      <c r="E32" s="11" t="n"/>
      <c r="F32" s="11" t="n"/>
      <c r="G32" s="11" t="n"/>
      <c r="H32" s="28">
        <f>IF(COUNT(D32:G32)&lt;4,"",AVERAGE(D32:G32)/5*100)</f>
        <v/>
      </c>
    </row>
    <row r="33">
      <c r="A33" s="8" t="n">
        <v>17</v>
      </c>
      <c r="B33" s="12">
        <f>IF(Rekap!$B$37="","",Rekap!$B$37)</f>
        <v/>
      </c>
      <c r="C33" s="12">
        <f>IF(Rekap!$D$37="","",Rekap!$D$37)</f>
        <v/>
      </c>
      <c r="D33" s="11" t="n"/>
      <c r="E33" s="11" t="n"/>
      <c r="F33" s="11" t="n"/>
      <c r="G33" s="11" t="n"/>
      <c r="H33" s="28">
        <f>IF(COUNT(D33:G33)&lt;4,"",AVERAGE(D33:G33)/5*100)</f>
        <v/>
      </c>
    </row>
    <row r="34">
      <c r="A34" s="8" t="n">
        <v>18</v>
      </c>
      <c r="B34" s="12">
        <f>IF(Rekap!$B$38="","",Rekap!$B$38)</f>
        <v/>
      </c>
      <c r="C34" s="12">
        <f>IF(Rekap!$D$38="","",Rekap!$D$38)</f>
        <v/>
      </c>
      <c r="D34" s="11" t="n"/>
      <c r="E34" s="11" t="n"/>
      <c r="F34" s="11" t="n"/>
      <c r="G34" s="11" t="n"/>
      <c r="H34" s="28">
        <f>IF(COUNT(D34:G34)&lt;4,"",AVERAGE(D34:G34)/5*100)</f>
        <v/>
      </c>
    </row>
    <row r="35">
      <c r="A35" s="8" t="n">
        <v>19</v>
      </c>
      <c r="B35" s="12">
        <f>IF(Rekap!$B$39="","",Rekap!$B$39)</f>
        <v/>
      </c>
      <c r="C35" s="12">
        <f>IF(Rekap!$D$39="","",Rekap!$D$39)</f>
        <v/>
      </c>
      <c r="D35" s="11" t="n"/>
      <c r="E35" s="11" t="n"/>
      <c r="F35" s="11" t="n"/>
      <c r="G35" s="11" t="n"/>
      <c r="H35" s="28">
        <f>IF(COUNT(D35:G35)&lt;4,"",AVERAGE(D35:G35)/5*100)</f>
        <v/>
      </c>
    </row>
    <row r="36">
      <c r="A36" s="8" t="n">
        <v>20</v>
      </c>
      <c r="B36" s="12">
        <f>IF(Rekap!$B$40="","",Rekap!$B$40)</f>
        <v/>
      </c>
      <c r="C36" s="12">
        <f>IF(Rekap!$D$40="","",Rekap!$D$40)</f>
        <v/>
      </c>
      <c r="D36" s="11" t="n"/>
      <c r="E36" s="11" t="n"/>
      <c r="F36" s="11" t="n"/>
      <c r="G36" s="11" t="n"/>
      <c r="H36" s="28">
        <f>IF(COUNT(D36:G36)&lt;4,"",AVERAGE(D36:G36)/5*100)</f>
        <v/>
      </c>
    </row>
    <row r="37">
      <c r="A37" s="8" t="n">
        <v>21</v>
      </c>
      <c r="B37" s="12">
        <f>IF(Rekap!$B$41="","",Rekap!$B$41)</f>
        <v/>
      </c>
      <c r="C37" s="12">
        <f>IF(Rekap!$D$41="","",Rekap!$D$41)</f>
        <v/>
      </c>
      <c r="D37" s="11" t="n"/>
      <c r="E37" s="11" t="n"/>
      <c r="F37" s="11" t="n"/>
      <c r="G37" s="11" t="n"/>
      <c r="H37" s="28">
        <f>IF(COUNT(D37:G37)&lt;4,"",AVERAGE(D37:G37)/5*100)</f>
        <v/>
      </c>
    </row>
    <row r="38">
      <c r="A38" s="8" t="n">
        <v>22</v>
      </c>
      <c r="B38" s="12">
        <f>IF(Rekap!$B$42="","",Rekap!$B$42)</f>
        <v/>
      </c>
      <c r="C38" s="12">
        <f>IF(Rekap!$D$42="","",Rekap!$D$42)</f>
        <v/>
      </c>
      <c r="D38" s="11" t="n"/>
      <c r="E38" s="11" t="n"/>
      <c r="F38" s="11" t="n"/>
      <c r="G38" s="11" t="n"/>
      <c r="H38" s="28">
        <f>IF(COUNT(D38:G38)&lt;4,"",AVERAGE(D38:G38)/5*100)</f>
        <v/>
      </c>
    </row>
    <row r="39">
      <c r="A39" s="8" t="n">
        <v>23</v>
      </c>
      <c r="B39" s="12">
        <f>IF(Rekap!$B$43="","",Rekap!$B$43)</f>
        <v/>
      </c>
      <c r="C39" s="12">
        <f>IF(Rekap!$D$43="","",Rekap!$D$43)</f>
        <v/>
      </c>
      <c r="D39" s="11" t="n"/>
      <c r="E39" s="11" t="n"/>
      <c r="F39" s="11" t="n"/>
      <c r="G39" s="11" t="n"/>
      <c r="H39" s="28">
        <f>IF(COUNT(D39:G39)&lt;4,"",AVERAGE(D39:G39)/5*100)</f>
        <v/>
      </c>
    </row>
    <row r="40">
      <c r="A40" s="8" t="n">
        <v>24</v>
      </c>
      <c r="B40" s="12">
        <f>IF(Rekap!$B$44="","",Rekap!$B$44)</f>
        <v/>
      </c>
      <c r="C40" s="12">
        <f>IF(Rekap!$D$44="","",Rekap!$D$44)</f>
        <v/>
      </c>
      <c r="D40" s="11" t="n"/>
      <c r="E40" s="11" t="n"/>
      <c r="F40" s="11" t="n"/>
      <c r="G40" s="11" t="n"/>
      <c r="H40" s="28">
        <f>IF(COUNT(D40:G40)&lt;4,"",AVERAGE(D40:G40)/5*100)</f>
        <v/>
      </c>
    </row>
    <row r="41">
      <c r="A41" s="8" t="n">
        <v>25</v>
      </c>
      <c r="B41" s="12">
        <f>IF(Rekap!$B$45="","",Rekap!$B$45)</f>
        <v/>
      </c>
      <c r="C41" s="12">
        <f>IF(Rekap!$D$45="","",Rekap!$D$45)</f>
        <v/>
      </c>
      <c r="D41" s="11" t="n"/>
      <c r="E41" s="11" t="n"/>
      <c r="F41" s="11" t="n"/>
      <c r="G41" s="11" t="n"/>
      <c r="H41" s="28">
        <f>IF(COUNT(D41:G41)&lt;4,"",AVERAGE(D41:G41)/5*100)</f>
        <v/>
      </c>
    </row>
    <row r="42">
      <c r="A42" s="8" t="n">
        <v>26</v>
      </c>
      <c r="B42" s="12">
        <f>IF(Rekap!$B$46="","",Rekap!$B$46)</f>
        <v/>
      </c>
      <c r="C42" s="12">
        <f>IF(Rekap!$D$46="","",Rekap!$D$46)</f>
        <v/>
      </c>
      <c r="D42" s="11" t="n"/>
      <c r="E42" s="11" t="n"/>
      <c r="F42" s="11" t="n"/>
      <c r="G42" s="11" t="n"/>
      <c r="H42" s="28">
        <f>IF(COUNT(D42:G42)&lt;4,"",AVERAGE(D42:G42)/5*100)</f>
        <v/>
      </c>
    </row>
    <row r="43">
      <c r="A43" s="8" t="n">
        <v>27</v>
      </c>
      <c r="B43" s="12">
        <f>IF(Rekap!$B$47="","",Rekap!$B$47)</f>
        <v/>
      </c>
      <c r="C43" s="12">
        <f>IF(Rekap!$D$47="","",Rekap!$D$47)</f>
        <v/>
      </c>
      <c r="D43" s="11" t="n"/>
      <c r="E43" s="11" t="n"/>
      <c r="F43" s="11" t="n"/>
      <c r="G43" s="11" t="n"/>
      <c r="H43" s="28">
        <f>IF(COUNT(D43:G43)&lt;4,"",AVERAGE(D43:G43)/5*100)</f>
        <v/>
      </c>
    </row>
    <row r="44">
      <c r="A44" s="8" t="n">
        <v>28</v>
      </c>
      <c r="B44" s="12">
        <f>IF(Rekap!$B$48="","",Rekap!$B$48)</f>
        <v/>
      </c>
      <c r="C44" s="12">
        <f>IF(Rekap!$D$48="","",Rekap!$D$48)</f>
        <v/>
      </c>
      <c r="D44" s="11" t="n"/>
      <c r="E44" s="11" t="n"/>
      <c r="F44" s="11" t="n"/>
      <c r="G44" s="11" t="n"/>
      <c r="H44" s="28">
        <f>IF(COUNT(D44:G44)&lt;4,"",AVERAGE(D44:G44)/5*100)</f>
        <v/>
      </c>
    </row>
    <row r="45">
      <c r="A45" s="8" t="n">
        <v>29</v>
      </c>
      <c r="B45" s="12">
        <f>IF(Rekap!$B$49="","",Rekap!$B$49)</f>
        <v/>
      </c>
      <c r="C45" s="12">
        <f>IF(Rekap!$D$49="","",Rekap!$D$49)</f>
        <v/>
      </c>
      <c r="D45" s="11" t="n"/>
      <c r="E45" s="11" t="n"/>
      <c r="F45" s="11" t="n"/>
      <c r="G45" s="11" t="n"/>
      <c r="H45" s="28">
        <f>IF(COUNT(D45:G45)&lt;4,"",AVERAGE(D45:G45)/5*100)</f>
        <v/>
      </c>
    </row>
    <row r="46">
      <c r="A46" s="8" t="n">
        <v>30</v>
      </c>
      <c r="B46" s="12">
        <f>IF(Rekap!$B$50="","",Rekap!$B$50)</f>
        <v/>
      </c>
      <c r="C46" s="12">
        <f>IF(Rekap!$D$50="","",Rekap!$D$50)</f>
        <v/>
      </c>
      <c r="D46" s="11" t="n"/>
      <c r="E46" s="11" t="n"/>
      <c r="F46" s="11" t="n"/>
      <c r="G46" s="11" t="n"/>
      <c r="H46" s="28">
        <f>IF(COUNT(D46:G46)&lt;4,"",AVERAGE(D46:G46)/5*100)</f>
        <v/>
      </c>
    </row>
    <row r="47">
      <c r="A47" s="14" t="inlineStr">
        <is>
          <t>Rata-rata Kelas</t>
        </is>
      </c>
      <c r="B47" s="13" t="n"/>
      <c r="C47" s="13" t="n"/>
      <c r="D47" s="13" t="n"/>
      <c r="E47" s="13" t="n"/>
      <c r="F47" s="13" t="n"/>
      <c r="G47" s="13" t="n"/>
      <c r="H47" s="28">
        <f>IFERROR(AVERAGE(H17:H46),"")</f>
        <v/>
      </c>
    </row>
    <row r="49" ht="15.75" customHeight="1">
      <c r="A49" s="7" t="inlineStr">
        <is>
          <t>Rubrik Acuan Penilaian Tim</t>
        </is>
      </c>
    </row>
    <row r="50">
      <c r="A50" s="4" t="inlineStr">
        <is>
          <t>Kriteria</t>
        </is>
      </c>
      <c r="B50" s="4" t="inlineStr">
        <is>
          <t>Bobot</t>
        </is>
      </c>
      <c r="C50" s="4" t="inlineStr">
        <is>
          <t>Level 1 (Sangat Kurang)</t>
        </is>
      </c>
      <c r="D50" s="4" t="inlineStr">
        <is>
          <t>Level 2 (Kurang)</t>
        </is>
      </c>
      <c r="E50" s="4" t="inlineStr">
        <is>
          <t>Level 3 (Cukup)</t>
        </is>
      </c>
      <c r="F50" s="4" t="inlineStr">
        <is>
          <t>Level 4 (Baik)</t>
        </is>
      </c>
      <c r="G50" s="4" t="inlineStr">
        <is>
          <t>Level 5 (Sangat Baik)</t>
        </is>
      </c>
    </row>
    <row r="51" ht="60" customHeight="1">
      <c r="A51" s="15" t="inlineStr">
        <is>
          <t>Progres Pengembangan Sesuai Rencana</t>
        </is>
      </c>
      <c r="B51" s="5" t="n">
        <v>0.2</v>
      </c>
      <c r="C51" s="16" t="inlineStr">
        <is>
          <t>Tidak ada progres yang dapat ditunjukkan atau progres jauh menyimpang dari rencana.</t>
        </is>
      </c>
      <c r="D51" s="16" t="inlineStr">
        <is>
          <t>Progres menunjukkan capaian minim, banyak menyimpang dari rencana.</t>
        </is>
      </c>
      <c r="E51" s="16" t="inlineStr">
        <is>
          <t>Progres menunjukkan capaian sesuai sebagian besar rencana.</t>
        </is>
      </c>
      <c r="F51" s="16" t="inlineStr">
        <is>
          <t>Progres sesuai rencana, sebagian besar fitur mulai terintegrasi.</t>
        </is>
      </c>
      <c r="G51" s="16" t="inlineStr">
        <is>
          <t>Progres sesuai atau melebihi rencana, fitur-fitur utama telah terintegrasi sesuai target minggu ke-12.</t>
        </is>
      </c>
    </row>
    <row r="52" ht="60" customHeight="1">
      <c r="A52" s="15" t="inlineStr">
        <is>
          <t>Pengolahan Data dan Import/Export (SCPMK0202-04004)</t>
        </is>
      </c>
      <c r="B52" s="5" t="n">
        <v>0.2</v>
      </c>
      <c r="C52" s="16" t="inlineStr">
        <is>
          <t>Fitur pengolahan data (import/export) tidak berfungsi atau tidak ada.</t>
        </is>
      </c>
      <c r="D52" s="16" t="inlineStr">
        <is>
          <t>Fitur import/export berjalan sebagian, banyak data gagal diproses.</t>
        </is>
      </c>
      <c r="E52" s="16" t="inlineStr">
        <is>
          <t>Fitur import/export berjalan namun penanganan dataset besar atau format data belum konsisten.</t>
        </is>
      </c>
      <c r="F52" s="16" t="inlineStr">
        <is>
          <t>Fitur import/export (laporan, ekspor, impor data) berjalan dengan baik pada sebagian besar skenario.</t>
        </is>
      </c>
      <c r="G52" s="16" t="inlineStr">
        <is>
          <t>Fitur pengolahan data dan import/export bekerja konsisten, termasuk penanganan dataset besar dan format data yang beragam.</t>
        </is>
      </c>
    </row>
    <row r="53" ht="60" customHeight="1">
      <c r="A53" s="15" t="inlineStr">
        <is>
          <t>Desain dan Implementasi API (SCPMK0202-04003)</t>
        </is>
      </c>
      <c r="B53" s="5" t="n">
        <v>0.2</v>
      </c>
      <c r="C53" s="16" t="inlineStr">
        <is>
          <t>API gagal berjalan atau tidak sesuai kontrak data.</t>
        </is>
      </c>
      <c r="D53" s="16" t="inlineStr">
        <is>
          <t>Endpoint API berjalan sebagian, validasi dan penanganan error belum diterapkan.</t>
        </is>
      </c>
      <c r="E53" s="16" t="inlineStr">
        <is>
          <t>Endpoint API berjalan namun validasi atau penanganan error belum lengkap.</t>
        </is>
      </c>
      <c r="F53" s="16" t="inlineStr">
        <is>
          <t>Endpoint API berjalan dengan validasi dan penanganan error yang cukup konsisten.</t>
        </is>
      </c>
      <c r="G53" s="16" t="inlineStr">
        <is>
          <t>Endpoint API, request/response, validasi, penanganan error, dan token-based authentication bekerja konsisten.</t>
        </is>
      </c>
    </row>
    <row r="54" ht="60" customHeight="1">
      <c r="A54" s="15" t="inlineStr">
        <is>
          <t>Konsumsi API dari Sisi Klien</t>
        </is>
      </c>
      <c r="B54" s="5" t="n">
        <v>0.2</v>
      </c>
      <c r="C54" s="16" t="inlineStr">
        <is>
          <t>Tidak ada contoh klien yang mengonsumsi API atau klien tidak berhasil mengonsumsi API.</t>
        </is>
      </c>
      <c r="D54" s="16" t="inlineStr">
        <is>
          <t>Klien berhasil memanggil sebagian kecil endpoint, penanganan token belum diterapkan.</t>
        </is>
      </c>
      <c r="E54" s="16" t="inlineStr">
        <is>
          <t>Klien berhasil memanggil sebagian endpoint tetapi penanganan token atau galat belum konsisten.</t>
        </is>
      </c>
      <c r="F54" s="16" t="inlineStr">
        <is>
          <t>Klien berhasil login dan memanggil sebagian besar endpoint terproteksi dengan penanganan token yang cukup baik.</t>
        </is>
      </c>
      <c r="G54" s="16" t="inlineStr">
        <is>
          <t>Klien berhasil login, menyimpan/mengirim token, memanggil endpoint terproteksi, dan menangani respons/galat dengan tepat.</t>
        </is>
      </c>
    </row>
    <row r="55" ht="60" customHeight="1">
      <c r="A55" s="15" t="inlineStr">
        <is>
          <t>Integrasi Fitur dan Perencanaan Teknis Lanjutan</t>
        </is>
      </c>
      <c r="B55" s="5" t="n">
        <v>0.2</v>
      </c>
      <c r="C55" s="16" t="inlineStr">
        <is>
          <t>Tidak ada rencana teknis lanjutan dan fitur-fitur belum terintegrasi.</t>
        </is>
      </c>
      <c r="D55" s="16" t="inlineStr">
        <is>
          <t>Rencana teknis ada namun tidak konsisten dengan proposal, integrasi fitur baru sebagian kecil.</t>
        </is>
      </c>
      <c r="E55" s="16" t="inlineStr">
        <is>
          <t>Rencana teknis ada tetapi belum sepenuhnya konsisten dengan proposal, fitur utama terintegrasi tetapi masih ada kekurangan.</t>
        </is>
      </c>
      <c r="F55" s="16" t="inlineStr">
        <is>
          <t>Rencana teknis mendetailkan proposal secara cukup konsisten, sebagian besar fitur utama terintegrasi stabil.</t>
        </is>
      </c>
      <c r="G55" s="16" t="inlineStr">
        <is>
          <t>Rencana teknis (arsitektur terperinci &amp; pembagian peran) konsisten dengan proposal, fitur utama terintegrasi secara stabil.</t>
        </is>
      </c>
    </row>
    <row r="56">
      <c r="A56" s="17" t="inlineStr">
        <is>
          <t>Total Bobot</t>
        </is>
      </c>
      <c r="B56" s="6">
        <f>SUM(B51:B55)</f>
        <v/>
      </c>
      <c r="C56" s="13" t="n"/>
      <c r="D56" s="13" t="n"/>
      <c r="E56" s="13" t="n"/>
      <c r="F56" s="13" t="n"/>
      <c r="G56" s="13" t="n"/>
    </row>
    <row r="58" ht="15.75" customHeight="1">
      <c r="A58" s="7" t="inlineStr">
        <is>
          <t>Rubrik Acuan Penilaian Individu (bobot tiap kriteria setara)</t>
        </is>
      </c>
    </row>
    <row r="59">
      <c r="A59" s="4" t="inlineStr">
        <is>
          <t>Kriteria</t>
        </is>
      </c>
      <c r="B59" s="4" t="inlineStr">
        <is>
          <t>Level 1 (Sangat Kurang)</t>
        </is>
      </c>
      <c r="C59" s="4" t="inlineStr">
        <is>
          <t>Level 2 (Kurang)</t>
        </is>
      </c>
      <c r="D59" s="4" t="inlineStr">
        <is>
          <t>Level 3 (Cukup)</t>
        </is>
      </c>
      <c r="E59" s="4" t="inlineStr">
        <is>
          <t>Level 4 (Baik)</t>
        </is>
      </c>
      <c r="F59" s="4" t="inlineStr">
        <is>
          <t>Level 5 (Sangat Baik)</t>
        </is>
      </c>
    </row>
    <row r="60" ht="60" customHeight="1">
      <c r="A60" s="15" t="inlineStr">
        <is>
          <t>Kontribusi terhadap Pekerjaan Tim</t>
        </is>
      </c>
      <c r="B60" s="16" t="inlineStr">
        <is>
          <t>Tidak berkontribusi pada pekerjaan tim pada tahap ini.</t>
        </is>
      </c>
      <c r="C60" s="16" t="inlineStr">
        <is>
          <t>Kontribusi sangat minim dibanding anggota lain.</t>
        </is>
      </c>
      <c r="D60" s="16" t="inlineStr">
        <is>
          <t>Berkontribusi cukup pada bagian pekerjaan yang menjadi tanggung jawabnya.</t>
        </is>
      </c>
      <c r="E60" s="16" t="inlineStr">
        <is>
          <t>Berkontribusi jelas pada bagian pekerjaan yang menjadi tanggung jawabnya.</t>
        </is>
      </c>
      <c r="F60" s="16" t="inlineStr">
        <is>
          <t>Berkontribusi signifikan pada bagian pekerjaan yang menjadi tanggung jawabnya, sesuai peran dalam tim.</t>
        </is>
      </c>
    </row>
    <row r="61" ht="60" customHeight="1">
      <c r="A61" s="15" t="inlineStr">
        <is>
          <t>Kualitas Hasil Kerja yang Dikerjakan</t>
        </is>
      </c>
      <c r="B61" s="16" t="inlineStr">
        <is>
          <t>Hasil kerja yang dikerjakan tidak berfungsi atau tidak dapat digunakan.</t>
        </is>
      </c>
      <c r="C61" s="16" t="inlineStr">
        <is>
          <t>Hasil kerja berfungsi sebagian, banyak kekurangan pada bagian yang ia kerjakan.</t>
        </is>
      </c>
      <c r="D61" s="16" t="inlineStr">
        <is>
          <t>Hasil kerja yang dikerjakan berfungsi cukup baik, namun ada kekurangan pada sebagian aspek.</t>
        </is>
      </c>
      <c r="E61" s="16" t="inlineStr">
        <is>
          <t>Hasil kerja yang dikerjakan berfungsi dengan baik, sebagian kecil kekurangan mudah diperbaiki.</t>
        </is>
      </c>
      <c r="F61" s="16" t="inlineStr">
        <is>
          <t>Hasil kerja yang dikerjakan berfungsi dengan baik dan rapi, sesuai standar kualitas tim.</t>
        </is>
      </c>
    </row>
    <row r="62" ht="60" customHeight="1">
      <c r="A62" s="15" t="inlineStr">
        <is>
          <t>Pemahaman Teknis atas Bagian yang Dikerjakan</t>
        </is>
      </c>
      <c r="B62" s="16" t="inlineStr">
        <is>
          <t>Tidak memahami bagian yang seharusnya dikerjakan.</t>
        </is>
      </c>
      <c r="C62" s="16" t="inlineStr">
        <is>
          <t>Memahami sebagian kecil bagian yang dikerjakan.</t>
        </is>
      </c>
      <c r="D62" s="16" t="inlineStr">
        <is>
          <t>Memahami sebagian besar bagian yang dikerjakan, namun kurang konsisten.</t>
        </is>
      </c>
      <c r="E62" s="16" t="inlineStr">
        <is>
          <t>Memahami bagian yang dikerjakan dengan baik.</t>
        </is>
      </c>
      <c r="F62" s="16" t="inlineStr">
        <is>
          <t>Memahami bagian yang dikerjakan secara menyeluruh, termasuk keterkaitannya dengan bagian tim yang lain.</t>
        </is>
      </c>
    </row>
    <row r="63" ht="60" customHeight="1">
      <c r="A63" s="15" t="inlineStr">
        <is>
          <t>Kesiapan Menjelaskan Bagian yang Dikerjakan</t>
        </is>
      </c>
      <c r="B63" s="16" t="inlineStr">
        <is>
          <t>Tidak mampu menjelaskan bagian yang dikerjakan.</t>
        </is>
      </c>
      <c r="C63" s="16" t="inlineStr">
        <is>
          <t>Penjelasan sangat terbatas dan kurang meyakinkan.</t>
        </is>
      </c>
      <c r="D63" s="16" t="inlineStr">
        <is>
          <t>Mampu menjelaskan sebagian bagian yang dikerjakan, namun belum konsisten.</t>
        </is>
      </c>
      <c r="E63" s="16" t="inlineStr">
        <is>
          <t>Mampu menjelaskan sebagian besar bagian yang dikerjakan dengan cukup jelas.</t>
        </is>
      </c>
      <c r="F63" s="16" t="inlineStr">
        <is>
          <t>Mampu menjelaskan bagian yang dikerjakan secara jelas dan meyakinkan.</t>
        </is>
      </c>
    </row>
  </sheetData>
  <mergeCells count="6">
    <mergeCell ref="A4:H4"/>
    <mergeCell ref="A15:H15"/>
    <mergeCell ref="A2:H2"/>
    <mergeCell ref="A58:F58"/>
    <mergeCell ref="A1:H1"/>
    <mergeCell ref="A49:G49"/>
  </mergeCells>
  <conditionalFormatting sqref="B56">
    <cfRule type="cellIs" priority="1" operator="notEqual" dxfId="0">
      <formula>1</formula>
    </cfRule>
  </conditionalFormatting>
  <dataValidations count="1">
    <dataValidation sqref="B7 B8 B9 B10 B11 B12 C7 C8 C9 C10 C11 C12 D7 D8 D9 D10 D11 D12 D17 D18 D19 D20 D21 D22 D23 D24 D25 D26 D27 D28 D29 D30 D31 D32 D33 D34 D35 D36 D37 D38 D39 D40 D41 D42 D43 D44 D45 D46 E7 E8 E9 E10 E11 E12 E17 E18 E19 E20 E21 E22 E23 E24 E25 E26 E27 E28 E29 E30 E31 E32 E33 E34 E35 E36 E37 E38 E39 E40 E41 E42 E43 E44 E45 E46 F7 F8 F9 F10 F11 F12 F17 F18 F19 F20 F21 F22 F23 F24 F25 F26 F27 F28 F29 F30 F31 F32 F33 F34 F35 F36 F37 F38 F39 F40 F41 F42 F43 F44 F45 F46 G17 G18 G19 G20 G21 G22 G23 G24 G25 G26 G27 G28 G29 G30 G31 G32 G33 G34 G35 G36 G37 G38 G39 G40 G41 G42 G43 G44 G45 G46" showDropDown="0" showInputMessage="0" showErrorMessage="1" allowBlank="1" errorTitle="Skor tidak valid" error="Pilih skor 1 sampai 5 dari daftar dropdown."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3"/>
  <sheetViews>
    <sheetView showGridLines="0" workbookViewId="0">
      <pane xSplit="1" ySplit="6" topLeftCell="B7" activePane="bottomRight" state="frozen"/>
      <selection activeCell="A1" sqref="A1"/>
      <selection pane="topRight" activeCell="A1" sqref="A1"/>
      <selection pane="bottomLeft" activeCell="A1" sqref="A1"/>
      <selection pane="bottomRight" activeCell="A1" sqref="A1:H1"/>
    </sheetView>
  </sheetViews>
  <sheetFormatPr baseColWidth="8" defaultColWidth="9" defaultRowHeight="15"/>
  <cols>
    <col width="26" customWidth="1" min="1" max="2"/>
    <col width="30" customWidth="1" min="3" max="7"/>
    <col width="16" customWidth="1" min="8" max="8"/>
  </cols>
  <sheetData>
    <row r="1" ht="21" customHeight="1">
      <c r="A1" s="1" t="inlineStr">
        <is>
          <t>Rubrik Penilaian - Checkpoint Final / UAS (Minggu 16-17)</t>
        </is>
      </c>
    </row>
    <row r="2">
      <c r="A2" s="2" t="inlineStr">
        <is>
          <t>Nilai tim dan nilai individu diisi di bawah ini; rubrik acuan skor 1-5 ada di bagian bawah sheet ini.</t>
        </is>
      </c>
    </row>
    <row r="4" ht="15.75" customHeight="1">
      <c r="A4" s="7" t="inlineStr">
        <is>
          <t>Penilaian Tim (skor 1-5 per kriteria)</t>
        </is>
      </c>
    </row>
    <row r="5">
      <c r="A5" s="3" t="inlineStr">
        <is>
          <t>Bobot (acuan)</t>
        </is>
      </c>
      <c r="B5" s="6">
        <f>B51</f>
        <v/>
      </c>
      <c r="C5" s="6">
        <f>B52</f>
        <v/>
      </c>
      <c r="D5" s="6">
        <f>B53</f>
        <v/>
      </c>
      <c r="E5" s="6">
        <f>B54</f>
        <v/>
      </c>
      <c r="F5" s="6">
        <f>B55</f>
        <v/>
      </c>
      <c r="G5" s="13" t="n"/>
      <c r="H5" s="13" t="n"/>
    </row>
    <row r="6" ht="25.5" customHeight="1">
      <c r="A6" s="4" t="inlineStr">
        <is>
          <t>Nama Tim</t>
        </is>
      </c>
      <c r="B6" s="4" t="inlineStr">
        <is>
          <t>Progres Finalisasi dan Kesiapan Deployment</t>
        </is>
      </c>
      <c r="C6" s="4" t="inlineStr">
        <is>
          <t>Kelengkapan Fitur Akhir Sesuai Kebutuhan Pengguna</t>
        </is>
      </c>
      <c r="D6" s="4" t="inlineStr">
        <is>
          <t>Kualitas Teknis dan Maintainability Kode</t>
        </is>
      </c>
      <c r="E6" s="4" t="inlineStr">
        <is>
          <t>Pengujian dan Penanganan Bug</t>
        </is>
      </c>
      <c r="F6" s="4" t="inlineStr">
        <is>
          <t>Kesiapan Menjelaskan Keputusan Teknis</t>
        </is>
      </c>
      <c r="G6" s="4" t="inlineStr">
        <is>
          <t>Rata Tertimbang (1-5)</t>
        </is>
      </c>
      <c r="H6" s="4" t="inlineStr">
        <is>
          <t>Nilai (0-100)</t>
        </is>
      </c>
    </row>
    <row r="7">
      <c r="A7" s="12">
        <f>Rekap!$B$12</f>
        <v/>
      </c>
      <c r="B7" s="11" t="n"/>
      <c r="C7" s="11" t="n"/>
      <c r="D7" s="11" t="n"/>
      <c r="E7" s="11" t="n"/>
      <c r="F7" s="11" t="n"/>
      <c r="G7" s="18">
        <f>IF(COUNT(B7:F7)&lt;5,"",SUMPRODUCT(B7:F7,B$5:F$5)/SUM(B$5:F$5))</f>
        <v/>
      </c>
      <c r="H7" s="28">
        <f>IF(G7="","",G7/5*100)</f>
        <v/>
      </c>
    </row>
    <row r="8">
      <c r="A8" s="12">
        <f>Rekap!$B$13</f>
        <v/>
      </c>
      <c r="B8" s="11" t="n"/>
      <c r="C8" s="11" t="n"/>
      <c r="D8" s="11" t="n"/>
      <c r="E8" s="11" t="n"/>
      <c r="F8" s="11" t="n"/>
      <c r="G8" s="18">
        <f>IF(COUNT(B8:F8)&lt;5,"",SUMPRODUCT(B8:F8,B$5:F$5)/SUM(B$5:F$5))</f>
        <v/>
      </c>
      <c r="H8" s="28">
        <f>IF(G8="","",G8/5*100)</f>
        <v/>
      </c>
    </row>
    <row r="9">
      <c r="A9" s="12">
        <f>Rekap!$B$14</f>
        <v/>
      </c>
      <c r="B9" s="11" t="n"/>
      <c r="C9" s="11" t="n"/>
      <c r="D9" s="11" t="n"/>
      <c r="E9" s="11" t="n"/>
      <c r="F9" s="11" t="n"/>
      <c r="G9" s="18">
        <f>IF(COUNT(B9:F9)&lt;5,"",SUMPRODUCT(B9:F9,B$5:F$5)/SUM(B$5:F$5))</f>
        <v/>
      </c>
      <c r="H9" s="28">
        <f>IF(G9="","",G9/5*100)</f>
        <v/>
      </c>
    </row>
    <row r="10">
      <c r="A10" s="12">
        <f>Rekap!$B$15</f>
        <v/>
      </c>
      <c r="B10" s="11" t="n"/>
      <c r="C10" s="11" t="n"/>
      <c r="D10" s="11" t="n"/>
      <c r="E10" s="11" t="n"/>
      <c r="F10" s="11" t="n"/>
      <c r="G10" s="18">
        <f>IF(COUNT(B10:F10)&lt;5,"",SUMPRODUCT(B10:F10,B$5:F$5)/SUM(B$5:F$5))</f>
        <v/>
      </c>
      <c r="H10" s="28">
        <f>IF(G10="","",G10/5*100)</f>
        <v/>
      </c>
    </row>
    <row r="11">
      <c r="A11" s="12">
        <f>Rekap!$B$16</f>
        <v/>
      </c>
      <c r="B11" s="11" t="n"/>
      <c r="C11" s="11" t="n"/>
      <c r="D11" s="11" t="n"/>
      <c r="E11" s="11" t="n"/>
      <c r="F11" s="11" t="n"/>
      <c r="G11" s="18">
        <f>IF(COUNT(B11:F11)&lt;5,"",SUMPRODUCT(B11:F11,B$5:F$5)/SUM(B$5:F$5))</f>
        <v/>
      </c>
      <c r="H11" s="28">
        <f>IF(G11="","",G11/5*100)</f>
        <v/>
      </c>
    </row>
    <row r="12">
      <c r="A12" s="12">
        <f>Rekap!$B$17</f>
        <v/>
      </c>
      <c r="B12" s="11" t="n"/>
      <c r="C12" s="11" t="n"/>
      <c r="D12" s="11" t="n"/>
      <c r="E12" s="11" t="n"/>
      <c r="F12" s="11" t="n"/>
      <c r="G12" s="18">
        <f>IF(COUNT(B12:F12)&lt;5,"",SUMPRODUCT(B12:F12,B$5:F$5)/SUM(B$5:F$5))</f>
        <v/>
      </c>
      <c r="H12" s="28">
        <f>IF(G12="","",G12/5*100)</f>
        <v/>
      </c>
    </row>
    <row r="13">
      <c r="A13" s="3" t="inlineStr">
        <is>
          <t>Rata-rata Kelas</t>
        </is>
      </c>
      <c r="B13" s="13" t="n"/>
      <c r="C13" s="13" t="n"/>
      <c r="D13" s="13" t="n"/>
      <c r="E13" s="13" t="n"/>
      <c r="F13" s="13" t="n"/>
      <c r="G13" s="13" t="n"/>
      <c r="H13" s="28">
        <f>IFERROR(AVERAGE(H7:H12),"")</f>
        <v/>
      </c>
    </row>
    <row r="15" ht="15.75" customHeight="1">
      <c r="A15" s="7" t="inlineStr">
        <is>
          <t>Penilaian Individu (skor 1-5 per kriteria)</t>
        </is>
      </c>
    </row>
    <row r="16" ht="25.5" customHeight="1">
      <c r="A16" s="4" t="inlineStr">
        <is>
          <t>No</t>
        </is>
      </c>
      <c r="B16" s="4" t="inlineStr">
        <is>
          <t>Nama Mahasiswa</t>
        </is>
      </c>
      <c r="C16" s="4" t="inlineStr">
        <is>
          <t>Tim</t>
        </is>
      </c>
      <c r="D16" s="4" t="inlineStr">
        <is>
          <t>Kontribusi terhadap Pekerjaan Tim</t>
        </is>
      </c>
      <c r="E16" s="4" t="inlineStr">
        <is>
          <t>Kualitas Hasil Kerja yang Dikerjakan</t>
        </is>
      </c>
      <c r="F16" s="4" t="inlineStr">
        <is>
          <t>Pemahaman Teknis atas Bagian yang Dikerjakan</t>
        </is>
      </c>
      <c r="G16" s="4" t="inlineStr">
        <is>
          <t>Kesiapan Menjelaskan Bagian yang Dikerjakan</t>
        </is>
      </c>
      <c r="H16" s="4" t="inlineStr">
        <is>
          <t>Nilai Individu (0-100)</t>
        </is>
      </c>
    </row>
    <row r="17">
      <c r="A17" s="8" t="n">
        <v>1</v>
      </c>
      <c r="B17" s="12">
        <f>IF(Rekap!$B$21="","",Rekap!$B$21)</f>
        <v/>
      </c>
      <c r="C17" s="12">
        <f>IF(Rekap!$D$21="","",Rekap!$D$21)</f>
        <v/>
      </c>
      <c r="D17" s="11" t="n"/>
      <c r="E17" s="11" t="n"/>
      <c r="F17" s="11" t="n"/>
      <c r="G17" s="11" t="n"/>
      <c r="H17" s="28">
        <f>IF(COUNT(D17:G17)&lt;4,"",AVERAGE(D17:G17)/5*100)</f>
        <v/>
      </c>
    </row>
    <row r="18">
      <c r="A18" s="8" t="n">
        <v>2</v>
      </c>
      <c r="B18" s="12">
        <f>IF(Rekap!$B$22="","",Rekap!$B$22)</f>
        <v/>
      </c>
      <c r="C18" s="12">
        <f>IF(Rekap!$D$22="","",Rekap!$D$22)</f>
        <v/>
      </c>
      <c r="D18" s="11" t="n"/>
      <c r="E18" s="11" t="n"/>
      <c r="F18" s="11" t="n"/>
      <c r="G18" s="11" t="n"/>
      <c r="H18" s="28">
        <f>IF(COUNT(D18:G18)&lt;4,"",AVERAGE(D18:G18)/5*100)</f>
        <v/>
      </c>
    </row>
    <row r="19">
      <c r="A19" s="8" t="n">
        <v>3</v>
      </c>
      <c r="B19" s="12">
        <f>IF(Rekap!$B$23="","",Rekap!$B$23)</f>
        <v/>
      </c>
      <c r="C19" s="12">
        <f>IF(Rekap!$D$23="","",Rekap!$D$23)</f>
        <v/>
      </c>
      <c r="D19" s="11" t="n"/>
      <c r="E19" s="11" t="n"/>
      <c r="F19" s="11" t="n"/>
      <c r="G19" s="11" t="n"/>
      <c r="H19" s="28">
        <f>IF(COUNT(D19:G19)&lt;4,"",AVERAGE(D19:G19)/5*100)</f>
        <v/>
      </c>
    </row>
    <row r="20">
      <c r="A20" s="8" t="n">
        <v>4</v>
      </c>
      <c r="B20" s="12">
        <f>IF(Rekap!$B$24="","",Rekap!$B$24)</f>
        <v/>
      </c>
      <c r="C20" s="12">
        <f>IF(Rekap!$D$24="","",Rekap!$D$24)</f>
        <v/>
      </c>
      <c r="D20" s="11" t="n"/>
      <c r="E20" s="11" t="n"/>
      <c r="F20" s="11" t="n"/>
      <c r="G20" s="11" t="n"/>
      <c r="H20" s="28">
        <f>IF(COUNT(D20:G20)&lt;4,"",AVERAGE(D20:G20)/5*100)</f>
        <v/>
      </c>
    </row>
    <row r="21">
      <c r="A21" s="8" t="n">
        <v>5</v>
      </c>
      <c r="B21" s="12">
        <f>IF(Rekap!$B$25="","",Rekap!$B$25)</f>
        <v/>
      </c>
      <c r="C21" s="12">
        <f>IF(Rekap!$D$25="","",Rekap!$D$25)</f>
        <v/>
      </c>
      <c r="D21" s="11" t="n"/>
      <c r="E21" s="11" t="n"/>
      <c r="F21" s="11" t="n"/>
      <c r="G21" s="11" t="n"/>
      <c r="H21" s="28">
        <f>IF(COUNT(D21:G21)&lt;4,"",AVERAGE(D21:G21)/5*100)</f>
        <v/>
      </c>
    </row>
    <row r="22">
      <c r="A22" s="8" t="n">
        <v>6</v>
      </c>
      <c r="B22" s="12">
        <f>IF(Rekap!$B$26="","",Rekap!$B$26)</f>
        <v/>
      </c>
      <c r="C22" s="12">
        <f>IF(Rekap!$D$26="","",Rekap!$D$26)</f>
        <v/>
      </c>
      <c r="D22" s="11" t="n"/>
      <c r="E22" s="11" t="n"/>
      <c r="F22" s="11" t="n"/>
      <c r="G22" s="11" t="n"/>
      <c r="H22" s="28">
        <f>IF(COUNT(D22:G22)&lt;4,"",AVERAGE(D22:G22)/5*100)</f>
        <v/>
      </c>
    </row>
    <row r="23">
      <c r="A23" s="8" t="n">
        <v>7</v>
      </c>
      <c r="B23" s="12">
        <f>IF(Rekap!$B$27="","",Rekap!$B$27)</f>
        <v/>
      </c>
      <c r="C23" s="12">
        <f>IF(Rekap!$D$27="","",Rekap!$D$27)</f>
        <v/>
      </c>
      <c r="D23" s="11" t="n"/>
      <c r="E23" s="11" t="n"/>
      <c r="F23" s="11" t="n"/>
      <c r="G23" s="11" t="n"/>
      <c r="H23" s="28">
        <f>IF(COUNT(D23:G23)&lt;4,"",AVERAGE(D23:G23)/5*100)</f>
        <v/>
      </c>
    </row>
    <row r="24">
      <c r="A24" s="8" t="n">
        <v>8</v>
      </c>
      <c r="B24" s="12">
        <f>IF(Rekap!$B$28="","",Rekap!$B$28)</f>
        <v/>
      </c>
      <c r="C24" s="12">
        <f>IF(Rekap!$D$28="","",Rekap!$D$28)</f>
        <v/>
      </c>
      <c r="D24" s="11" t="n"/>
      <c r="E24" s="11" t="n"/>
      <c r="F24" s="11" t="n"/>
      <c r="G24" s="11" t="n"/>
      <c r="H24" s="28">
        <f>IF(COUNT(D24:G24)&lt;4,"",AVERAGE(D24:G24)/5*100)</f>
        <v/>
      </c>
    </row>
    <row r="25">
      <c r="A25" s="8" t="n">
        <v>9</v>
      </c>
      <c r="B25" s="12">
        <f>IF(Rekap!$B$29="","",Rekap!$B$29)</f>
        <v/>
      </c>
      <c r="C25" s="12">
        <f>IF(Rekap!$D$29="","",Rekap!$D$29)</f>
        <v/>
      </c>
      <c r="D25" s="11" t="n"/>
      <c r="E25" s="11" t="n"/>
      <c r="F25" s="11" t="n"/>
      <c r="G25" s="11" t="n"/>
      <c r="H25" s="28">
        <f>IF(COUNT(D25:G25)&lt;4,"",AVERAGE(D25:G25)/5*100)</f>
        <v/>
      </c>
    </row>
    <row r="26">
      <c r="A26" s="8" t="n">
        <v>10</v>
      </c>
      <c r="B26" s="12">
        <f>IF(Rekap!$B$30="","",Rekap!$B$30)</f>
        <v/>
      </c>
      <c r="C26" s="12">
        <f>IF(Rekap!$D$30="","",Rekap!$D$30)</f>
        <v/>
      </c>
      <c r="D26" s="11" t="n"/>
      <c r="E26" s="11" t="n"/>
      <c r="F26" s="11" t="n"/>
      <c r="G26" s="11" t="n"/>
      <c r="H26" s="28">
        <f>IF(COUNT(D26:G26)&lt;4,"",AVERAGE(D26:G26)/5*100)</f>
        <v/>
      </c>
    </row>
    <row r="27">
      <c r="A27" s="8" t="n">
        <v>11</v>
      </c>
      <c r="B27" s="12">
        <f>IF(Rekap!$B$31="","",Rekap!$B$31)</f>
        <v/>
      </c>
      <c r="C27" s="12">
        <f>IF(Rekap!$D$31="","",Rekap!$D$31)</f>
        <v/>
      </c>
      <c r="D27" s="11" t="n"/>
      <c r="E27" s="11" t="n"/>
      <c r="F27" s="11" t="n"/>
      <c r="G27" s="11" t="n"/>
      <c r="H27" s="28">
        <f>IF(COUNT(D27:G27)&lt;4,"",AVERAGE(D27:G27)/5*100)</f>
        <v/>
      </c>
    </row>
    <row r="28">
      <c r="A28" s="8" t="n">
        <v>12</v>
      </c>
      <c r="B28" s="12">
        <f>IF(Rekap!$B$32="","",Rekap!$B$32)</f>
        <v/>
      </c>
      <c r="C28" s="12">
        <f>IF(Rekap!$D$32="","",Rekap!$D$32)</f>
        <v/>
      </c>
      <c r="D28" s="11" t="n"/>
      <c r="E28" s="11" t="n"/>
      <c r="F28" s="11" t="n"/>
      <c r="G28" s="11" t="n"/>
      <c r="H28" s="28">
        <f>IF(COUNT(D28:G28)&lt;4,"",AVERAGE(D28:G28)/5*100)</f>
        <v/>
      </c>
    </row>
    <row r="29">
      <c r="A29" s="8" t="n">
        <v>13</v>
      </c>
      <c r="B29" s="12">
        <f>IF(Rekap!$B$33="","",Rekap!$B$33)</f>
        <v/>
      </c>
      <c r="C29" s="12">
        <f>IF(Rekap!$D$33="","",Rekap!$D$33)</f>
        <v/>
      </c>
      <c r="D29" s="11" t="n"/>
      <c r="E29" s="11" t="n"/>
      <c r="F29" s="11" t="n"/>
      <c r="G29" s="11" t="n"/>
      <c r="H29" s="28">
        <f>IF(COUNT(D29:G29)&lt;4,"",AVERAGE(D29:G29)/5*100)</f>
        <v/>
      </c>
    </row>
    <row r="30">
      <c r="A30" s="8" t="n">
        <v>14</v>
      </c>
      <c r="B30" s="12">
        <f>IF(Rekap!$B$34="","",Rekap!$B$34)</f>
        <v/>
      </c>
      <c r="C30" s="12">
        <f>IF(Rekap!$D$34="","",Rekap!$D$34)</f>
        <v/>
      </c>
      <c r="D30" s="11" t="n"/>
      <c r="E30" s="11" t="n"/>
      <c r="F30" s="11" t="n"/>
      <c r="G30" s="11" t="n"/>
      <c r="H30" s="28">
        <f>IF(COUNT(D30:G30)&lt;4,"",AVERAGE(D30:G30)/5*100)</f>
        <v/>
      </c>
    </row>
    <row r="31">
      <c r="A31" s="8" t="n">
        <v>15</v>
      </c>
      <c r="B31" s="12">
        <f>IF(Rekap!$B$35="","",Rekap!$B$35)</f>
        <v/>
      </c>
      <c r="C31" s="12">
        <f>IF(Rekap!$D$35="","",Rekap!$D$35)</f>
        <v/>
      </c>
      <c r="D31" s="11" t="n"/>
      <c r="E31" s="11" t="n"/>
      <c r="F31" s="11" t="n"/>
      <c r="G31" s="11" t="n"/>
      <c r="H31" s="28">
        <f>IF(COUNT(D31:G31)&lt;4,"",AVERAGE(D31:G31)/5*100)</f>
        <v/>
      </c>
    </row>
    <row r="32">
      <c r="A32" s="8" t="n">
        <v>16</v>
      </c>
      <c r="B32" s="12">
        <f>IF(Rekap!$B$36="","",Rekap!$B$36)</f>
        <v/>
      </c>
      <c r="C32" s="12">
        <f>IF(Rekap!$D$36="","",Rekap!$D$36)</f>
        <v/>
      </c>
      <c r="D32" s="11" t="n"/>
      <c r="E32" s="11" t="n"/>
      <c r="F32" s="11" t="n"/>
      <c r="G32" s="11" t="n"/>
      <c r="H32" s="28">
        <f>IF(COUNT(D32:G32)&lt;4,"",AVERAGE(D32:G32)/5*100)</f>
        <v/>
      </c>
    </row>
    <row r="33">
      <c r="A33" s="8" t="n">
        <v>17</v>
      </c>
      <c r="B33" s="12">
        <f>IF(Rekap!$B$37="","",Rekap!$B$37)</f>
        <v/>
      </c>
      <c r="C33" s="12">
        <f>IF(Rekap!$D$37="","",Rekap!$D$37)</f>
        <v/>
      </c>
      <c r="D33" s="11" t="n"/>
      <c r="E33" s="11" t="n"/>
      <c r="F33" s="11" t="n"/>
      <c r="G33" s="11" t="n"/>
      <c r="H33" s="28">
        <f>IF(COUNT(D33:G33)&lt;4,"",AVERAGE(D33:G33)/5*100)</f>
        <v/>
      </c>
    </row>
    <row r="34">
      <c r="A34" s="8" t="n">
        <v>18</v>
      </c>
      <c r="B34" s="12">
        <f>IF(Rekap!$B$38="","",Rekap!$B$38)</f>
        <v/>
      </c>
      <c r="C34" s="12">
        <f>IF(Rekap!$D$38="","",Rekap!$D$38)</f>
        <v/>
      </c>
      <c r="D34" s="11" t="n"/>
      <c r="E34" s="11" t="n"/>
      <c r="F34" s="11" t="n"/>
      <c r="G34" s="11" t="n"/>
      <c r="H34" s="28">
        <f>IF(COUNT(D34:G34)&lt;4,"",AVERAGE(D34:G34)/5*100)</f>
        <v/>
      </c>
    </row>
    <row r="35">
      <c r="A35" s="8" t="n">
        <v>19</v>
      </c>
      <c r="B35" s="12">
        <f>IF(Rekap!$B$39="","",Rekap!$B$39)</f>
        <v/>
      </c>
      <c r="C35" s="12">
        <f>IF(Rekap!$D$39="","",Rekap!$D$39)</f>
        <v/>
      </c>
      <c r="D35" s="11" t="n"/>
      <c r="E35" s="11" t="n"/>
      <c r="F35" s="11" t="n"/>
      <c r="G35" s="11" t="n"/>
      <c r="H35" s="28">
        <f>IF(COUNT(D35:G35)&lt;4,"",AVERAGE(D35:G35)/5*100)</f>
        <v/>
      </c>
    </row>
    <row r="36">
      <c r="A36" s="8" t="n">
        <v>20</v>
      </c>
      <c r="B36" s="12">
        <f>IF(Rekap!$B$40="","",Rekap!$B$40)</f>
        <v/>
      </c>
      <c r="C36" s="12">
        <f>IF(Rekap!$D$40="","",Rekap!$D$40)</f>
        <v/>
      </c>
      <c r="D36" s="11" t="n"/>
      <c r="E36" s="11" t="n"/>
      <c r="F36" s="11" t="n"/>
      <c r="G36" s="11" t="n"/>
      <c r="H36" s="28">
        <f>IF(COUNT(D36:G36)&lt;4,"",AVERAGE(D36:G36)/5*100)</f>
        <v/>
      </c>
    </row>
    <row r="37">
      <c r="A37" s="8" t="n">
        <v>21</v>
      </c>
      <c r="B37" s="12">
        <f>IF(Rekap!$B$41="","",Rekap!$B$41)</f>
        <v/>
      </c>
      <c r="C37" s="12">
        <f>IF(Rekap!$D$41="","",Rekap!$D$41)</f>
        <v/>
      </c>
      <c r="D37" s="11" t="n"/>
      <c r="E37" s="11" t="n"/>
      <c r="F37" s="11" t="n"/>
      <c r="G37" s="11" t="n"/>
      <c r="H37" s="28">
        <f>IF(COUNT(D37:G37)&lt;4,"",AVERAGE(D37:G37)/5*100)</f>
        <v/>
      </c>
    </row>
    <row r="38">
      <c r="A38" s="8" t="n">
        <v>22</v>
      </c>
      <c r="B38" s="12">
        <f>IF(Rekap!$B$42="","",Rekap!$B$42)</f>
        <v/>
      </c>
      <c r="C38" s="12">
        <f>IF(Rekap!$D$42="","",Rekap!$D$42)</f>
        <v/>
      </c>
      <c r="D38" s="11" t="n"/>
      <c r="E38" s="11" t="n"/>
      <c r="F38" s="11" t="n"/>
      <c r="G38" s="11" t="n"/>
      <c r="H38" s="28">
        <f>IF(COUNT(D38:G38)&lt;4,"",AVERAGE(D38:G38)/5*100)</f>
        <v/>
      </c>
    </row>
    <row r="39">
      <c r="A39" s="8" t="n">
        <v>23</v>
      </c>
      <c r="B39" s="12">
        <f>IF(Rekap!$B$43="","",Rekap!$B$43)</f>
        <v/>
      </c>
      <c r="C39" s="12">
        <f>IF(Rekap!$D$43="","",Rekap!$D$43)</f>
        <v/>
      </c>
      <c r="D39" s="11" t="n"/>
      <c r="E39" s="11" t="n"/>
      <c r="F39" s="11" t="n"/>
      <c r="G39" s="11" t="n"/>
      <c r="H39" s="28">
        <f>IF(COUNT(D39:G39)&lt;4,"",AVERAGE(D39:G39)/5*100)</f>
        <v/>
      </c>
    </row>
    <row r="40">
      <c r="A40" s="8" t="n">
        <v>24</v>
      </c>
      <c r="B40" s="12">
        <f>IF(Rekap!$B$44="","",Rekap!$B$44)</f>
        <v/>
      </c>
      <c r="C40" s="12">
        <f>IF(Rekap!$D$44="","",Rekap!$D$44)</f>
        <v/>
      </c>
      <c r="D40" s="11" t="n"/>
      <c r="E40" s="11" t="n"/>
      <c r="F40" s="11" t="n"/>
      <c r="G40" s="11" t="n"/>
      <c r="H40" s="28">
        <f>IF(COUNT(D40:G40)&lt;4,"",AVERAGE(D40:G40)/5*100)</f>
        <v/>
      </c>
    </row>
    <row r="41">
      <c r="A41" s="8" t="n">
        <v>25</v>
      </c>
      <c r="B41" s="12">
        <f>IF(Rekap!$B$45="","",Rekap!$B$45)</f>
        <v/>
      </c>
      <c r="C41" s="12">
        <f>IF(Rekap!$D$45="","",Rekap!$D$45)</f>
        <v/>
      </c>
      <c r="D41" s="11" t="n"/>
      <c r="E41" s="11" t="n"/>
      <c r="F41" s="11" t="n"/>
      <c r="G41" s="11" t="n"/>
      <c r="H41" s="28">
        <f>IF(COUNT(D41:G41)&lt;4,"",AVERAGE(D41:G41)/5*100)</f>
        <v/>
      </c>
    </row>
    <row r="42">
      <c r="A42" s="8" t="n">
        <v>26</v>
      </c>
      <c r="B42" s="12">
        <f>IF(Rekap!$B$46="","",Rekap!$B$46)</f>
        <v/>
      </c>
      <c r="C42" s="12">
        <f>IF(Rekap!$D$46="","",Rekap!$D$46)</f>
        <v/>
      </c>
      <c r="D42" s="11" t="n"/>
      <c r="E42" s="11" t="n"/>
      <c r="F42" s="11" t="n"/>
      <c r="G42" s="11" t="n"/>
      <c r="H42" s="28">
        <f>IF(COUNT(D42:G42)&lt;4,"",AVERAGE(D42:G42)/5*100)</f>
        <v/>
      </c>
    </row>
    <row r="43">
      <c r="A43" s="8" t="n">
        <v>27</v>
      </c>
      <c r="B43" s="12">
        <f>IF(Rekap!$B$47="","",Rekap!$B$47)</f>
        <v/>
      </c>
      <c r="C43" s="12">
        <f>IF(Rekap!$D$47="","",Rekap!$D$47)</f>
        <v/>
      </c>
      <c r="D43" s="11" t="n"/>
      <c r="E43" s="11" t="n"/>
      <c r="F43" s="11" t="n"/>
      <c r="G43" s="11" t="n"/>
      <c r="H43" s="28">
        <f>IF(COUNT(D43:G43)&lt;4,"",AVERAGE(D43:G43)/5*100)</f>
        <v/>
      </c>
    </row>
    <row r="44">
      <c r="A44" s="8" t="n">
        <v>28</v>
      </c>
      <c r="B44" s="12">
        <f>IF(Rekap!$B$48="","",Rekap!$B$48)</f>
        <v/>
      </c>
      <c r="C44" s="12">
        <f>IF(Rekap!$D$48="","",Rekap!$D$48)</f>
        <v/>
      </c>
      <c r="D44" s="11" t="n"/>
      <c r="E44" s="11" t="n"/>
      <c r="F44" s="11" t="n"/>
      <c r="G44" s="11" t="n"/>
      <c r="H44" s="28">
        <f>IF(COUNT(D44:G44)&lt;4,"",AVERAGE(D44:G44)/5*100)</f>
        <v/>
      </c>
    </row>
    <row r="45">
      <c r="A45" s="8" t="n">
        <v>29</v>
      </c>
      <c r="B45" s="12">
        <f>IF(Rekap!$B$49="","",Rekap!$B$49)</f>
        <v/>
      </c>
      <c r="C45" s="12">
        <f>IF(Rekap!$D$49="","",Rekap!$D$49)</f>
        <v/>
      </c>
      <c r="D45" s="11" t="n"/>
      <c r="E45" s="11" t="n"/>
      <c r="F45" s="11" t="n"/>
      <c r="G45" s="11" t="n"/>
      <c r="H45" s="28">
        <f>IF(COUNT(D45:G45)&lt;4,"",AVERAGE(D45:G45)/5*100)</f>
        <v/>
      </c>
    </row>
    <row r="46">
      <c r="A46" s="8" t="n">
        <v>30</v>
      </c>
      <c r="B46" s="12">
        <f>IF(Rekap!$B$50="","",Rekap!$B$50)</f>
        <v/>
      </c>
      <c r="C46" s="12">
        <f>IF(Rekap!$D$50="","",Rekap!$D$50)</f>
        <v/>
      </c>
      <c r="D46" s="11" t="n"/>
      <c r="E46" s="11" t="n"/>
      <c r="F46" s="11" t="n"/>
      <c r="G46" s="11" t="n"/>
      <c r="H46" s="28">
        <f>IF(COUNT(D46:G46)&lt;4,"",AVERAGE(D46:G46)/5*100)</f>
        <v/>
      </c>
    </row>
    <row r="47">
      <c r="A47" s="14" t="inlineStr">
        <is>
          <t>Rata-rata Kelas</t>
        </is>
      </c>
      <c r="B47" s="13" t="n"/>
      <c r="C47" s="13" t="n"/>
      <c r="D47" s="13" t="n"/>
      <c r="E47" s="13" t="n"/>
      <c r="F47" s="13" t="n"/>
      <c r="G47" s="13" t="n"/>
      <c r="H47" s="28">
        <f>IFERROR(AVERAGE(H17:H46),"")</f>
        <v/>
      </c>
    </row>
    <row r="49" ht="15.75" customHeight="1">
      <c r="A49" s="7" t="inlineStr">
        <is>
          <t>Rubrik Acuan Penilaian Tim</t>
        </is>
      </c>
    </row>
    <row r="50">
      <c r="A50" s="4" t="inlineStr">
        <is>
          <t>Kriteria</t>
        </is>
      </c>
      <c r="B50" s="4" t="inlineStr">
        <is>
          <t>Bobot</t>
        </is>
      </c>
      <c r="C50" s="4" t="inlineStr">
        <is>
          <t>Level 1 (Sangat Kurang)</t>
        </is>
      </c>
      <c r="D50" s="4" t="inlineStr">
        <is>
          <t>Level 2 (Kurang)</t>
        </is>
      </c>
      <c r="E50" s="4" t="inlineStr">
        <is>
          <t>Level 3 (Cukup)</t>
        </is>
      </c>
      <c r="F50" s="4" t="inlineStr">
        <is>
          <t>Level 4 (Baik)</t>
        </is>
      </c>
      <c r="G50" s="4" t="inlineStr">
        <is>
          <t>Level 5 (Sangat Baik)</t>
        </is>
      </c>
    </row>
    <row r="51" ht="60" customHeight="1">
      <c r="A51" s="15" t="inlineStr">
        <is>
          <t>Progres Finalisasi dan Kesiapan Deployment</t>
        </is>
      </c>
      <c r="B51" s="5" t="n">
        <v>0.225</v>
      </c>
      <c r="C51" s="16" t="inlineStr">
        <is>
          <t>Tidak ada evidence memadai atau proyek tidak dapat dijalankan/didemonstrasikan.</t>
        </is>
      </c>
      <c r="D51" s="16" t="inlineStr">
        <is>
          <t>Evidence finalisasi sangat terbatas, proyek sulit dijalankan ulang.</t>
        </is>
      </c>
      <c r="E51" s="16" t="inlineStr">
        <is>
          <t>Evidence finalisasi tersedia tetapi pengujian atau kesiapan deployment belum kuat.</t>
        </is>
      </c>
      <c r="F51" s="16" t="inlineStr">
        <is>
          <t>Pengujian, data demo, dan repository tersedia dengan kesiapan deployment yang cukup baik.</t>
        </is>
      </c>
      <c r="G51" s="16" t="inlineStr">
        <is>
          <t>Pengujian, data demo/seeder, deployment atau demo lokal, dan repository tersedia lengkap dan siap dijalankan ulang.</t>
        </is>
      </c>
    </row>
    <row r="52" ht="60" customHeight="1">
      <c r="A52" s="15" t="inlineStr">
        <is>
          <t>Kelengkapan Fitur Akhir Sesuai Kebutuhan Pengguna</t>
        </is>
      </c>
      <c r="B52" s="5" t="n">
        <v>0.225</v>
      </c>
      <c r="C52" s="16" t="inlineStr">
        <is>
          <t>Fitur akhir tidak memenuhi scope proposal atau banyak alur yang gagal.</t>
        </is>
      </c>
      <c r="D52" s="16" t="inlineStr">
        <is>
          <t>Fitur utama memenuhi sebagian kecil scope, banyak validasi atau peran belum lengkap.</t>
        </is>
      </c>
      <c r="E52" s="16" t="inlineStr">
        <is>
          <t>Fitur utama memenuhi scope tetapi beberapa validasi atau peran masih belum lengkap.</t>
        </is>
      </c>
      <c r="F52" s="16" t="inlineStr">
        <is>
          <t>Fitur aplikasi memenuhi scope dan peran dengan sebagian besar validasi berjalan baik.</t>
        </is>
      </c>
      <c r="G52" s="16" t="inlineStr">
        <is>
          <t>Fitur aplikasi memenuhi scope, peran, alur kebutuhan pengguna, validasi, dan pengelolaan data secara menyeluruh.</t>
        </is>
      </c>
    </row>
    <row r="53" ht="60" customHeight="1">
      <c r="A53" s="15" t="inlineStr">
        <is>
          <t>Kualitas Teknis dan Maintainability Kode</t>
        </is>
      </c>
      <c r="B53" s="5" t="n">
        <v>0.225</v>
      </c>
      <c r="C53" s="16" t="inlineStr">
        <is>
          <t>Kode sulit dipelihara atau tidak dapat dijalankan ulang.</t>
        </is>
      </c>
      <c r="D53" s="16" t="inlineStr">
        <is>
          <t>Kode berjalan namun banyak duplikasi dan query yang tidak efisien.</t>
        </is>
      </c>
      <c r="E53" s="16" t="inlineStr">
        <is>
          <t>Kode cukup rapi tetapi masih ada duplikasi, query kurang efisien, atau konfigurasi kurang jelas.</t>
        </is>
      </c>
      <c r="F53" s="16" t="inlineStr">
        <is>
          <t>Kode mengikuti konvensi framework dengan struktur cukup rapi dan query cukup efisien.</t>
        </is>
      </c>
      <c r="G53" s="16" t="inlineStr">
        <is>
          <t>Kode mengikuti konvensi framework, struktur rapi, query efisien, dan konfigurasi siap dijalankan ulang.</t>
        </is>
      </c>
    </row>
    <row r="54" ht="60" customHeight="1">
      <c r="A54" s="15" t="inlineStr">
        <is>
          <t>Pengujian dan Penanganan Bug</t>
        </is>
      </c>
      <c r="B54" s="5" t="n">
        <v>0.225</v>
      </c>
      <c r="C54" s="16" t="inlineStr">
        <is>
          <t>Tidak ada pengujian pada fitur akhir atau bug kritis tidak ditangani.</t>
        </is>
      </c>
      <c r="D54" s="16" t="inlineStr">
        <is>
          <t>Pengujian sangat terbatas, banyak bug belum ditangani.</t>
        </is>
      </c>
      <c r="E54" s="16" t="inlineStr">
        <is>
          <t>Pengujian dilakukan pada sebagian besar fitur, sebagian bug ditangani.</t>
        </is>
      </c>
      <c r="F54" s="16" t="inlineStr">
        <is>
          <t>Pengujian dilakukan menyeluruh pada fitur utama, hampir seluruh bug ditangani.</t>
        </is>
      </c>
      <c r="G54" s="16" t="inlineStr">
        <is>
          <t>Pengujian dilakukan menyeluruh pada seluruh fitur akhir, seluruh bug ditangani dan diverifikasi ulang.</t>
        </is>
      </c>
    </row>
    <row r="55" ht="60" customHeight="1">
      <c r="A55" s="15" t="inlineStr">
        <is>
          <t>Kesiapan Menjelaskan Keputusan Teknis</t>
        </is>
      </c>
      <c r="B55" s="5" t="n">
        <v>0.1</v>
      </c>
      <c r="C55" s="16" t="inlineStr">
        <is>
          <t>Tidak mampu mempertahankan keputusan teknis atau evidence tidak memadai.</t>
        </is>
      </c>
      <c r="D55" s="16" t="inlineStr">
        <is>
          <t>Penjelasan keputusan teknis sangat terbatas dan kurang meyakinkan.</t>
        </is>
      </c>
      <c r="E55" s="16" t="inlineStr">
        <is>
          <t>Defense cukup jelas tetapi evidence pengujian/deployment atau rekomendasi masih terbatas.</t>
        </is>
      </c>
      <c r="F55" s="16" t="inlineStr">
        <is>
          <t>Defense menjelaskan sebagian besar arsitektur, pengujian, dan deployment dengan cukup jelas.</t>
        </is>
      </c>
      <c r="G55" s="16" t="inlineStr">
        <is>
          <t>Defense menjelaskan arsitektur, pengujian, deployment, risiko, dan rekomendasi peningkatan aplikasi secara jelas.</t>
        </is>
      </c>
    </row>
    <row r="56">
      <c r="A56" s="17" t="inlineStr">
        <is>
          <t>Total Bobot</t>
        </is>
      </c>
      <c r="B56" s="6">
        <f>SUM(B51:B55)</f>
        <v/>
      </c>
      <c r="C56" s="13" t="n"/>
      <c r="D56" s="13" t="n"/>
      <c r="E56" s="13" t="n"/>
      <c r="F56" s="13" t="n"/>
      <c r="G56" s="13" t="n"/>
    </row>
    <row r="58" ht="15.75" customHeight="1">
      <c r="A58" s="7" t="inlineStr">
        <is>
          <t>Rubrik Acuan Penilaian Individu (bobot tiap kriteria setara)</t>
        </is>
      </c>
    </row>
    <row r="59">
      <c r="A59" s="4" t="inlineStr">
        <is>
          <t>Kriteria</t>
        </is>
      </c>
      <c r="B59" s="4" t="inlineStr">
        <is>
          <t>Level 1 (Sangat Kurang)</t>
        </is>
      </c>
      <c r="C59" s="4" t="inlineStr">
        <is>
          <t>Level 2 (Kurang)</t>
        </is>
      </c>
      <c r="D59" s="4" t="inlineStr">
        <is>
          <t>Level 3 (Cukup)</t>
        </is>
      </c>
      <c r="E59" s="4" t="inlineStr">
        <is>
          <t>Level 4 (Baik)</t>
        </is>
      </c>
      <c r="F59" s="4" t="inlineStr">
        <is>
          <t>Level 5 (Sangat Baik)</t>
        </is>
      </c>
    </row>
    <row r="60" ht="60" customHeight="1">
      <c r="A60" s="15" t="inlineStr">
        <is>
          <t>Kontribusi terhadap Pekerjaan Tim</t>
        </is>
      </c>
      <c r="B60" s="16" t="inlineStr">
        <is>
          <t>Tidak berkontribusi pada penyempurnaan produk final.</t>
        </is>
      </c>
      <c r="C60" s="16" t="inlineStr">
        <is>
          <t>Kontribusi sangat minim dibanding anggota lain.</t>
        </is>
      </c>
      <c r="D60" s="16" t="inlineStr">
        <is>
          <t>Berkontribusi cukup pada bagian pekerjaan yang menjadi tanggung jawabnya.</t>
        </is>
      </c>
      <c r="E60" s="16" t="inlineStr">
        <is>
          <t>Berkontribusi jelas pada bagian pekerjaan yang menjadi tanggung jawabnya.</t>
        </is>
      </c>
      <c r="F60" s="16" t="inlineStr">
        <is>
          <t>Berkontribusi signifikan pada kualitas akhir produk, sesuai peran dalam tim.</t>
        </is>
      </c>
    </row>
    <row r="61" ht="60" customHeight="1">
      <c r="A61" s="15" t="inlineStr">
        <is>
          <t>Kualitas Hasil Kerja yang Dikerjakan</t>
        </is>
      </c>
      <c r="B61" s="16" t="inlineStr">
        <is>
          <t>Hasil kerja yang dikerjakan tidak berfungsi atau tidak dapat digunakan.</t>
        </is>
      </c>
      <c r="C61" s="16" t="inlineStr">
        <is>
          <t>Hasil kerja berfungsi sebagian, banyak kekurangan pada bagian yang ia kerjakan.</t>
        </is>
      </c>
      <c r="D61" s="16" t="inlineStr">
        <is>
          <t>Hasil kerja yang dikerjakan berfungsi cukup baik, namun ada kekurangan pada sebagian aspek.</t>
        </is>
      </c>
      <c r="E61" s="16" t="inlineStr">
        <is>
          <t>Hasil kerja yang dikerjakan berfungsi dengan baik, sebagian kecil kekurangan mudah diperbaiki.</t>
        </is>
      </c>
      <c r="F61" s="16" t="inlineStr">
        <is>
          <t>Hasil kerja yang dikerjakan berfungsi dengan baik dan rapi, sesuai standar kualitas produk akhir.</t>
        </is>
      </c>
    </row>
    <row r="62" ht="60" customHeight="1">
      <c r="A62" s="15" t="inlineStr">
        <is>
          <t>Pemahaman Teknis atas Bagian yang Dikerjakan</t>
        </is>
      </c>
      <c r="B62" s="16" t="inlineStr">
        <is>
          <t>Tidak memahami bagian produk yang seharusnya dikerjakan.</t>
        </is>
      </c>
      <c r="C62" s="16" t="inlineStr">
        <is>
          <t>Memahami sebagian kecil bagian yang dikerjakan.</t>
        </is>
      </c>
      <c r="D62" s="16" t="inlineStr">
        <is>
          <t>Memahami sebagian besar bagian yang dikerjakan, namun kurang konsisten.</t>
        </is>
      </c>
      <c r="E62" s="16" t="inlineStr">
        <is>
          <t>Memahami bagian yang dikerjakan dengan baik.</t>
        </is>
      </c>
      <c r="F62" s="16" t="inlineStr">
        <is>
          <t>Memahami bagian yang dikerjakan secara menyeluruh, termasuk keterkaitannya dengan bagian tim yang lain.</t>
        </is>
      </c>
    </row>
    <row r="63" ht="60" customHeight="1">
      <c r="A63" s="15" t="inlineStr">
        <is>
          <t>Kesiapan Menjelaskan Bagian yang Dikerjakan</t>
        </is>
      </c>
      <c r="B63" s="16" t="inlineStr">
        <is>
          <t>Tidak mampu menjelaskan bagian yang dikerjakan.</t>
        </is>
      </c>
      <c r="C63" s="16" t="inlineStr">
        <is>
          <t>Penjelasan sangat terbatas dan kurang meyakinkan.</t>
        </is>
      </c>
      <c r="D63" s="16" t="inlineStr">
        <is>
          <t>Mampu menjelaskan sebagian bagian yang dikerjakan, namun belum konsisten.</t>
        </is>
      </c>
      <c r="E63" s="16" t="inlineStr">
        <is>
          <t>Mampu menjelaskan sebagian besar bagian yang dikerjakan dengan cukup jelas.</t>
        </is>
      </c>
      <c r="F63" s="16" t="inlineStr">
        <is>
          <t>Mampu menjelaskan bagian yang dikerjakan secara jelas dan meyakinkan.</t>
        </is>
      </c>
    </row>
  </sheetData>
  <mergeCells count="6">
    <mergeCell ref="A4:H4"/>
    <mergeCell ref="A15:H15"/>
    <mergeCell ref="A2:H2"/>
    <mergeCell ref="A58:F58"/>
    <mergeCell ref="A1:H1"/>
    <mergeCell ref="A49:G49"/>
  </mergeCells>
  <conditionalFormatting sqref="B56">
    <cfRule type="cellIs" priority="1" operator="notEqual" dxfId="0">
      <formula>1</formula>
    </cfRule>
  </conditionalFormatting>
  <dataValidations count="1">
    <dataValidation sqref="B7 B8 B9 B10 B11 B12 C7 C8 C9 C10 C11 C12 D7 D8 D9 D10 D11 D12 D17 D18 D19 D20 D21 D22 D23 D24 D25 D26 D27 D28 D29 D30 D31 D32 D33 D34 D35 D36 D37 D38 D39 D40 D41 D42 D43 D44 D45 D46 E7 E8 E9 E10 E11 E12 E17 E18 E19 E20 E21 E22 E23 E24 E25 E26 E27 E28 E29 E30 E31 E32 E33 E34 E35 E36 E37 E38 E39 E40 E41 E42 E43 E44 E45 E46 F7 F8 F9 F10 F11 F12 F17 F18 F19 F20 F21 F22 F23 F24 F25 F26 F27 F28 F29 F30 F31 F32 F33 F34 F35 F36 F37 F38 F39 F40 F41 F42 F43 F44 F45 F46 G17 G18 G19 G20 G21 G22 G23 G24 G25 G26 G27 G28 G29 G30 G31 G32 G33 G34 G35 G36 G37 G38 G39 G40 G41 G42 G43 G44 G45 G46" showDropDown="0" showInputMessage="0" showErrorMessage="1" allowBlank="1" errorTitle="Skor tidak valid" error="Pilih skor 1 sampai 5 dari daftar dropdown." type="list">
      <formula1>"1,2,3,4,5"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0"/>
  <sheetViews>
    <sheetView showGridLines="0" tabSelected="1" workbookViewId="0">
      <pane xSplit="2" ySplit="8" topLeftCell="C9" activePane="bottomRight" state="frozen"/>
      <selection activeCell="A1" sqref="A1"/>
      <selection pane="topRight" activeCell="A1" sqref="A1"/>
      <selection pane="bottomLeft" activeCell="A1" sqref="A1"/>
      <selection pane="bottomRight" activeCell="C11" sqref="C11"/>
    </sheetView>
  </sheetViews>
  <sheetFormatPr baseColWidth="8" defaultColWidth="9" defaultRowHeight="15"/>
  <cols>
    <col width="6" customWidth="1" min="1" max="1"/>
    <col width="26" customWidth="1" min="2" max="2"/>
    <col width="16" customWidth="1" min="3" max="8"/>
    <col width="18" customWidth="1" min="9" max="10"/>
  </cols>
  <sheetData>
    <row r="1" ht="21" customHeight="1">
      <c r="A1" s="1" t="inlineStr">
        <is>
          <t>Rekap Nilai - Pemrograman Web Lanjut (SIB Semester 5)</t>
        </is>
      </c>
    </row>
    <row r="2">
      <c r="A2" s="2" t="inlineStr">
        <is>
          <t>Isi nama tim dan data mahasiswa di sini. Nilai tim dan nilai individu terisi otomatis dari sheet checkpoint masing-masing.</t>
        </is>
      </c>
    </row>
    <row r="4">
      <c r="A4" s="3" t="inlineStr">
        <is>
          <t>Bobot Checkpoint</t>
        </is>
      </c>
      <c r="B4" s="4" t="inlineStr">
        <is>
          <t>Proposal</t>
        </is>
      </c>
      <c r="C4" s="4" t="inlineStr">
        <is>
          <t>Milestone 1</t>
        </is>
      </c>
      <c r="D4" s="4" t="inlineStr">
        <is>
          <t>Milestone 2</t>
        </is>
      </c>
      <c r="E4" s="4" t="inlineStr">
        <is>
          <t>Final</t>
        </is>
      </c>
      <c r="F4" s="4" t="inlineStr">
        <is>
          <t>Total</t>
        </is>
      </c>
    </row>
    <row r="5">
      <c r="A5" s="3" t="inlineStr">
        <is>
          <t>Persentase</t>
        </is>
      </c>
      <c r="B5" s="5" t="n">
        <v>0.1</v>
      </c>
      <c r="C5" s="5" t="n">
        <v>0.25</v>
      </c>
      <c r="D5" s="5" t="n">
        <v>0.3</v>
      </c>
      <c r="E5" s="5" t="n">
        <v>0.35</v>
      </c>
      <c r="F5" s="6">
        <f>SUM(B5:E5)</f>
        <v/>
      </c>
    </row>
    <row r="7">
      <c r="A7" s="3" t="inlineStr">
        <is>
          <t>Porsi Nilai Akhir</t>
        </is>
      </c>
      <c r="B7" s="4" t="inlineStr">
        <is>
          <t>Porsi Nilai Tim</t>
        </is>
      </c>
      <c r="C7" s="4" t="inlineStr">
        <is>
          <t>Porsi Nilai Individu</t>
        </is>
      </c>
      <c r="D7" s="4" t="inlineStr">
        <is>
          <t>Total</t>
        </is>
      </c>
    </row>
    <row r="8">
      <c r="A8" s="3" t="inlineStr">
        <is>
          <t>Persentase</t>
        </is>
      </c>
      <c r="B8" s="5" t="n">
        <v>0.3</v>
      </c>
      <c r="C8" s="5" t="n">
        <v>0.7</v>
      </c>
      <c r="D8" s="6">
        <f>SUM(B8:C8)</f>
        <v/>
      </c>
    </row>
    <row r="10" ht="15.75" customHeight="1">
      <c r="A10" s="7" t="inlineStr">
        <is>
          <t>Rekap Nilai Tim</t>
        </is>
      </c>
    </row>
    <row r="11">
      <c r="A11" s="4" t="inlineStr">
        <is>
          <t>No</t>
        </is>
      </c>
      <c r="B11" s="4" t="inlineStr">
        <is>
          <t>Nama Tim</t>
        </is>
      </c>
      <c r="C11" s="4" t="inlineStr">
        <is>
          <t>Proposal</t>
        </is>
      </c>
      <c r="D11" s="4" t="inlineStr">
        <is>
          <t>Milestone 1</t>
        </is>
      </c>
      <c r="E11" s="4" t="inlineStr">
        <is>
          <t>Milestone 2</t>
        </is>
      </c>
      <c r="F11" s="4" t="inlineStr">
        <is>
          <t>Final</t>
        </is>
      </c>
      <c r="G11" s="4" t="inlineStr">
        <is>
          <t>Nilai Akhir Tim</t>
        </is>
      </c>
    </row>
    <row r="12">
      <c r="A12" s="8" t="n">
        <v>1</v>
      </c>
      <c r="B12" s="9" t="inlineStr">
        <is>
          <t>Tim 1</t>
        </is>
      </c>
      <c r="C12" s="28">
        <f>Proposal!H7</f>
        <v/>
      </c>
      <c r="D12" s="28">
        <f>'Milestone 1'!H7</f>
        <v/>
      </c>
      <c r="E12" s="28">
        <f>'Milestone 2'!H7</f>
        <v/>
      </c>
      <c r="F12" s="28">
        <f>Final!H7</f>
        <v/>
      </c>
      <c r="G12" s="28">
        <f>IF(COUNT(C12:F12)&lt;4,"",SUMPRODUCT(C12:F12,B5:E5)/SUM(B5:E5))</f>
        <v/>
      </c>
    </row>
    <row r="13">
      <c r="A13" s="8" t="n">
        <v>2</v>
      </c>
      <c r="B13" s="9" t="inlineStr">
        <is>
          <t>Tim 2</t>
        </is>
      </c>
      <c r="C13" s="28">
        <f>Proposal!H8</f>
        <v/>
      </c>
      <c r="D13" s="28">
        <f>'Milestone 1'!H8</f>
        <v/>
      </c>
      <c r="E13" s="28">
        <f>'Milestone 2'!H8</f>
        <v/>
      </c>
      <c r="F13" s="28">
        <f>Final!H8</f>
        <v/>
      </c>
      <c r="G13" s="28">
        <f>IF(COUNT(C13:F13)&lt;4,"",SUMPRODUCT(C13:F13,B5:E5)/SUM(B5:E5))</f>
        <v/>
      </c>
    </row>
    <row r="14">
      <c r="A14" s="8" t="n">
        <v>3</v>
      </c>
      <c r="B14" s="9" t="inlineStr">
        <is>
          <t>Tim 3</t>
        </is>
      </c>
      <c r="C14" s="28">
        <f>Proposal!H9</f>
        <v/>
      </c>
      <c r="D14" s="28">
        <f>'Milestone 1'!H9</f>
        <v/>
      </c>
      <c r="E14" s="28">
        <f>'Milestone 2'!H9</f>
        <v/>
      </c>
      <c r="F14" s="28">
        <f>Final!H9</f>
        <v/>
      </c>
      <c r="G14" s="28">
        <f>IF(COUNT(C14:F14)&lt;4,"",SUMPRODUCT(C14:F14,B5:E5)/SUM(B5:E5))</f>
        <v/>
      </c>
    </row>
    <row r="15">
      <c r="A15" s="8" t="n">
        <v>4</v>
      </c>
      <c r="B15" s="9" t="inlineStr">
        <is>
          <t>Tim 4</t>
        </is>
      </c>
      <c r="C15" s="28">
        <f>Proposal!H10</f>
        <v/>
      </c>
      <c r="D15" s="28">
        <f>'Milestone 1'!H10</f>
        <v/>
      </c>
      <c r="E15" s="28">
        <f>'Milestone 2'!H10</f>
        <v/>
      </c>
      <c r="F15" s="28">
        <f>Final!H10</f>
        <v/>
      </c>
      <c r="G15" s="28">
        <f>IF(COUNT(C15:F15)&lt;4,"",SUMPRODUCT(C15:F15,B5:E5)/SUM(B5:E5))</f>
        <v/>
      </c>
    </row>
    <row r="16">
      <c r="A16" s="8" t="n">
        <v>5</v>
      </c>
      <c r="B16" s="9" t="inlineStr">
        <is>
          <t>Tim 5</t>
        </is>
      </c>
      <c r="C16" s="28">
        <f>Proposal!H11</f>
        <v/>
      </c>
      <c r="D16" s="28">
        <f>'Milestone 1'!H11</f>
        <v/>
      </c>
      <c r="E16" s="28">
        <f>'Milestone 2'!H11</f>
        <v/>
      </c>
      <c r="F16" s="28">
        <f>Final!H11</f>
        <v/>
      </c>
      <c r="G16" s="28">
        <f>IF(COUNT(C16:F16)&lt;4,"",SUMPRODUCT(C16:F16,B5:E5)/SUM(B5:E5))</f>
        <v/>
      </c>
    </row>
    <row r="17">
      <c r="A17" s="8" t="n">
        <v>6</v>
      </c>
      <c r="B17" s="9" t="inlineStr">
        <is>
          <t>Tim 6</t>
        </is>
      </c>
      <c r="C17" s="28">
        <f>Proposal!H12</f>
        <v/>
      </c>
      <c r="D17" s="28">
        <f>'Milestone 1'!H12</f>
        <v/>
      </c>
      <c r="E17" s="28">
        <f>'Milestone 2'!H12</f>
        <v/>
      </c>
      <c r="F17" s="28">
        <f>Final!H12</f>
        <v/>
      </c>
      <c r="G17" s="28">
        <f>IF(COUNT(C17:F17)&lt;4,"",SUMPRODUCT(C17:F17,B5:E5)/SUM(B5:E5))</f>
        <v/>
      </c>
    </row>
    <row r="19" ht="15.75" customHeight="1">
      <c r="A19" s="7" t="inlineStr">
        <is>
          <t>Rekap Nilai Mahasiswa</t>
        </is>
      </c>
    </row>
    <row r="20">
      <c r="A20" s="4" t="inlineStr">
        <is>
          <t>No</t>
        </is>
      </c>
      <c r="B20" s="4" t="inlineStr">
        <is>
          <t>Nama Mahasiswa</t>
        </is>
      </c>
      <c r="C20" s="4" t="inlineStr">
        <is>
          <t>NIM</t>
        </is>
      </c>
      <c r="D20" s="4" t="inlineStr">
        <is>
          <t>Tim</t>
        </is>
      </c>
      <c r="E20" s="4" t="inlineStr">
        <is>
          <t>Individu Proposal</t>
        </is>
      </c>
      <c r="F20" s="4" t="inlineStr">
        <is>
          <t>Individu Milestone 1</t>
        </is>
      </c>
      <c r="G20" s="4" t="inlineStr">
        <is>
          <t>Individu Milestone 2</t>
        </is>
      </c>
      <c r="H20" s="4" t="inlineStr">
        <is>
          <t>Individu Final</t>
        </is>
      </c>
      <c r="I20" s="4" t="inlineStr">
        <is>
          <t>Nilai Individu Tertimbang</t>
        </is>
      </c>
      <c r="J20" s="4" t="inlineStr">
        <is>
          <t>Nilai Akhir Mahasiswa</t>
        </is>
      </c>
    </row>
    <row r="21">
      <c r="A21" s="8" t="n">
        <v>1</v>
      </c>
      <c r="B21" s="9" t="n"/>
      <c r="C21" s="11" t="n"/>
      <c r="D21" s="9" t="n"/>
      <c r="E21" s="28">
        <f>Proposal!H17</f>
        <v/>
      </c>
      <c r="F21" s="28">
        <f>'Milestone 1'!H17</f>
        <v/>
      </c>
      <c r="G21" s="28">
        <f>'Milestone 2'!H17</f>
        <v/>
      </c>
      <c r="H21" s="28">
        <f>Final!H17</f>
        <v/>
      </c>
      <c r="I21" s="28">
        <f>IF(COUNT(E21:H21)&lt;4,"",SUMPRODUCT(E21:H21,B5:E5)/SUM(B5:E5))</f>
        <v/>
      </c>
      <c r="J21" s="28">
        <f>IFERROR(MIN(100,INDEX($G$12:$G$17,MATCH(D21,$B$12:$B$17,0))*$B$8+I21*$C$8),"")</f>
        <v/>
      </c>
    </row>
    <row r="22">
      <c r="A22" s="8" t="n">
        <v>2</v>
      </c>
      <c r="B22" s="9" t="n"/>
      <c r="C22" s="11" t="n"/>
      <c r="D22" s="9" t="n"/>
      <c r="E22" s="28">
        <f>Proposal!H18</f>
        <v/>
      </c>
      <c r="F22" s="28">
        <f>'Milestone 1'!H18</f>
        <v/>
      </c>
      <c r="G22" s="28">
        <f>'Milestone 2'!H18</f>
        <v/>
      </c>
      <c r="H22" s="28">
        <f>Final!H18</f>
        <v/>
      </c>
      <c r="I22" s="28">
        <f>IF(COUNT(E22:H22)&lt;4,"",SUMPRODUCT(E22:H22,B5:E5)/SUM(B5:E5))</f>
        <v/>
      </c>
      <c r="J22" s="28">
        <f>IFERROR(MIN(100,INDEX($G$12:$G$17,MATCH(D22,$B$12:$B$17,0))*$B$8+I22*$C$8),"")</f>
        <v/>
      </c>
    </row>
    <row r="23">
      <c r="A23" s="8" t="n">
        <v>3</v>
      </c>
      <c r="B23" s="9" t="n"/>
      <c r="C23" s="11" t="n"/>
      <c r="D23" s="9" t="n"/>
      <c r="E23" s="28">
        <f>Proposal!H19</f>
        <v/>
      </c>
      <c r="F23" s="28">
        <f>'Milestone 1'!H19</f>
        <v/>
      </c>
      <c r="G23" s="28">
        <f>'Milestone 2'!H19</f>
        <v/>
      </c>
      <c r="H23" s="28">
        <f>Final!H19</f>
        <v/>
      </c>
      <c r="I23" s="28">
        <f>IF(COUNT(E23:H23)&lt;4,"",SUMPRODUCT(E23:H23,B5:E5)/SUM(B5:E5))</f>
        <v/>
      </c>
      <c r="J23" s="28">
        <f>IFERROR(MIN(100,INDEX($G$12:$G$17,MATCH(D23,$B$12:$B$17,0))*$B$8+I23*$C$8),"")</f>
        <v/>
      </c>
    </row>
    <row r="24">
      <c r="A24" s="8" t="n">
        <v>4</v>
      </c>
      <c r="B24" s="9" t="n"/>
      <c r="C24" s="11" t="n"/>
      <c r="D24" s="9" t="n"/>
      <c r="E24" s="28">
        <f>Proposal!H20</f>
        <v/>
      </c>
      <c r="F24" s="28">
        <f>'Milestone 1'!H20</f>
        <v/>
      </c>
      <c r="G24" s="28">
        <f>'Milestone 2'!H20</f>
        <v/>
      </c>
      <c r="H24" s="28">
        <f>Final!H20</f>
        <v/>
      </c>
      <c r="I24" s="28">
        <f>IF(COUNT(E24:H24)&lt;4,"",SUMPRODUCT(E24:H24,B5:E5)/SUM(B5:E5))</f>
        <v/>
      </c>
      <c r="J24" s="28">
        <f>IFERROR(MIN(100,INDEX($G$12:$G$17,MATCH(D24,$B$12:$B$17,0))*$B$8+I24*$C$8),"")</f>
        <v/>
      </c>
    </row>
    <row r="25">
      <c r="A25" s="8" t="n">
        <v>5</v>
      </c>
      <c r="B25" s="9" t="n"/>
      <c r="C25" s="11" t="n"/>
      <c r="D25" s="9" t="n"/>
      <c r="E25" s="28">
        <f>Proposal!H21</f>
        <v/>
      </c>
      <c r="F25" s="28">
        <f>'Milestone 1'!H21</f>
        <v/>
      </c>
      <c r="G25" s="28">
        <f>'Milestone 2'!H21</f>
        <v/>
      </c>
      <c r="H25" s="28">
        <f>Final!H21</f>
        <v/>
      </c>
      <c r="I25" s="28">
        <f>IF(COUNT(E25:H25)&lt;4,"",SUMPRODUCT(E25:H25,B5:E5)/SUM(B5:E5))</f>
        <v/>
      </c>
      <c r="J25" s="28">
        <f>IFERROR(MIN(100,INDEX($G$12:$G$17,MATCH(D25,$B$12:$B$17,0))*$B$8+I25*$C$8),"")</f>
        <v/>
      </c>
    </row>
    <row r="26">
      <c r="A26" s="8" t="n">
        <v>6</v>
      </c>
      <c r="B26" s="9" t="n"/>
      <c r="C26" s="11" t="n"/>
      <c r="D26" s="9" t="n"/>
      <c r="E26" s="28">
        <f>Proposal!H22</f>
        <v/>
      </c>
      <c r="F26" s="28">
        <f>'Milestone 1'!H22</f>
        <v/>
      </c>
      <c r="G26" s="28">
        <f>'Milestone 2'!H22</f>
        <v/>
      </c>
      <c r="H26" s="28">
        <f>Final!H22</f>
        <v/>
      </c>
      <c r="I26" s="28">
        <f>IF(COUNT(E26:H26)&lt;4,"",SUMPRODUCT(E26:H26,B5:E5)/SUM(B5:E5))</f>
        <v/>
      </c>
      <c r="J26" s="28">
        <f>IFERROR(MIN(100,INDEX($G$12:$G$17,MATCH(D26,$B$12:$B$17,0))*$B$8+I26*$C$8),"")</f>
        <v/>
      </c>
    </row>
    <row r="27">
      <c r="A27" s="8" t="n">
        <v>7</v>
      </c>
      <c r="B27" s="9" t="n"/>
      <c r="C27" s="11" t="n"/>
      <c r="D27" s="9" t="n"/>
      <c r="E27" s="28">
        <f>Proposal!H23</f>
        <v/>
      </c>
      <c r="F27" s="28">
        <f>'Milestone 1'!H23</f>
        <v/>
      </c>
      <c r="G27" s="28">
        <f>'Milestone 2'!H23</f>
        <v/>
      </c>
      <c r="H27" s="28">
        <f>Final!H23</f>
        <v/>
      </c>
      <c r="I27" s="28">
        <f>IF(COUNT(E27:H27)&lt;4,"",SUMPRODUCT(E27:H27,B5:E5)/SUM(B5:E5))</f>
        <v/>
      </c>
      <c r="J27" s="28">
        <f>IFERROR(MIN(100,INDEX($G$12:$G$17,MATCH(D27,$B$12:$B$17,0))*$B$8+I27*$C$8),"")</f>
        <v/>
      </c>
    </row>
    <row r="28">
      <c r="A28" s="8" t="n">
        <v>8</v>
      </c>
      <c r="B28" s="9" t="n"/>
      <c r="C28" s="11" t="n"/>
      <c r="D28" s="9" t="n"/>
      <c r="E28" s="28">
        <f>Proposal!H24</f>
        <v/>
      </c>
      <c r="F28" s="28">
        <f>'Milestone 1'!H24</f>
        <v/>
      </c>
      <c r="G28" s="28">
        <f>'Milestone 2'!H24</f>
        <v/>
      </c>
      <c r="H28" s="28">
        <f>Final!H24</f>
        <v/>
      </c>
      <c r="I28" s="28">
        <f>IF(COUNT(E28:H28)&lt;4,"",SUMPRODUCT(E28:H28,B5:E5)/SUM(B5:E5))</f>
        <v/>
      </c>
      <c r="J28" s="28">
        <f>IFERROR(MIN(100,INDEX($G$12:$G$17,MATCH(D28,$B$12:$B$17,0))*$B$8+I28*$C$8),"")</f>
        <v/>
      </c>
    </row>
    <row r="29">
      <c r="A29" s="8" t="n">
        <v>9</v>
      </c>
      <c r="B29" s="9" t="n"/>
      <c r="C29" s="11" t="n"/>
      <c r="D29" s="9" t="n"/>
      <c r="E29" s="28">
        <f>Proposal!H25</f>
        <v/>
      </c>
      <c r="F29" s="28">
        <f>'Milestone 1'!H25</f>
        <v/>
      </c>
      <c r="G29" s="28">
        <f>'Milestone 2'!H25</f>
        <v/>
      </c>
      <c r="H29" s="28">
        <f>Final!H25</f>
        <v/>
      </c>
      <c r="I29" s="28">
        <f>IF(COUNT(E29:H29)&lt;4,"",SUMPRODUCT(E29:H29,B5:E5)/SUM(B5:E5))</f>
        <v/>
      </c>
      <c r="J29" s="28">
        <f>IFERROR(MIN(100,INDEX($G$12:$G$17,MATCH(D29,$B$12:$B$17,0))*$B$8+I29*$C$8),"")</f>
        <v/>
      </c>
    </row>
    <row r="30">
      <c r="A30" s="8" t="n">
        <v>10</v>
      </c>
      <c r="B30" s="9" t="n"/>
      <c r="C30" s="11" t="n"/>
      <c r="D30" s="9" t="n"/>
      <c r="E30" s="28">
        <f>Proposal!H26</f>
        <v/>
      </c>
      <c r="F30" s="28">
        <f>'Milestone 1'!H26</f>
        <v/>
      </c>
      <c r="G30" s="28">
        <f>'Milestone 2'!H26</f>
        <v/>
      </c>
      <c r="H30" s="28">
        <f>Final!H26</f>
        <v/>
      </c>
      <c r="I30" s="28">
        <f>IF(COUNT(E30:H30)&lt;4,"",SUMPRODUCT(E30:H30,B5:E5)/SUM(B5:E5))</f>
        <v/>
      </c>
      <c r="J30" s="28">
        <f>IFERROR(MIN(100,INDEX($G$12:$G$17,MATCH(D30,$B$12:$B$17,0))*$B$8+I30*$C$8),"")</f>
        <v/>
      </c>
    </row>
    <row r="31">
      <c r="A31" s="8" t="n">
        <v>11</v>
      </c>
      <c r="B31" s="9" t="n"/>
      <c r="C31" s="11" t="n"/>
      <c r="D31" s="9" t="n"/>
      <c r="E31" s="28">
        <f>Proposal!H27</f>
        <v/>
      </c>
      <c r="F31" s="28">
        <f>'Milestone 1'!H27</f>
        <v/>
      </c>
      <c r="G31" s="28">
        <f>'Milestone 2'!H27</f>
        <v/>
      </c>
      <c r="H31" s="28">
        <f>Final!H27</f>
        <v/>
      </c>
      <c r="I31" s="28">
        <f>IF(COUNT(E31:H31)&lt;4,"",SUMPRODUCT(E31:H31,B5:E5)/SUM(B5:E5))</f>
        <v/>
      </c>
      <c r="J31" s="28">
        <f>IFERROR(MIN(100,INDEX($G$12:$G$17,MATCH(D31,$B$12:$B$17,0))*$B$8+I31*$C$8),"")</f>
        <v/>
      </c>
    </row>
    <row r="32">
      <c r="A32" s="8" t="n">
        <v>12</v>
      </c>
      <c r="B32" s="9" t="n"/>
      <c r="C32" s="11" t="n"/>
      <c r="D32" s="9" t="n"/>
      <c r="E32" s="28">
        <f>Proposal!H28</f>
        <v/>
      </c>
      <c r="F32" s="28">
        <f>'Milestone 1'!H28</f>
        <v/>
      </c>
      <c r="G32" s="28">
        <f>'Milestone 2'!H28</f>
        <v/>
      </c>
      <c r="H32" s="28">
        <f>Final!H28</f>
        <v/>
      </c>
      <c r="I32" s="28">
        <f>IF(COUNT(E32:H32)&lt;4,"",SUMPRODUCT(E32:H32,B5:E5)/SUM(B5:E5))</f>
        <v/>
      </c>
      <c r="J32" s="28">
        <f>IFERROR(MIN(100,INDEX($G$12:$G$17,MATCH(D32,$B$12:$B$17,0))*$B$8+I32*$C$8),"")</f>
        <v/>
      </c>
    </row>
    <row r="33">
      <c r="A33" s="8" t="n">
        <v>13</v>
      </c>
      <c r="B33" s="9" t="n"/>
      <c r="C33" s="11" t="n"/>
      <c r="D33" s="9" t="n"/>
      <c r="E33" s="28">
        <f>Proposal!H29</f>
        <v/>
      </c>
      <c r="F33" s="28">
        <f>'Milestone 1'!H29</f>
        <v/>
      </c>
      <c r="G33" s="28">
        <f>'Milestone 2'!H29</f>
        <v/>
      </c>
      <c r="H33" s="28">
        <f>Final!H29</f>
        <v/>
      </c>
      <c r="I33" s="28">
        <f>IF(COUNT(E33:H33)&lt;4,"",SUMPRODUCT(E33:H33,B5:E5)/SUM(B5:E5))</f>
        <v/>
      </c>
      <c r="J33" s="28">
        <f>IFERROR(MIN(100,INDEX($G$12:$G$17,MATCH(D33,$B$12:$B$17,0))*$B$8+I33*$C$8),"")</f>
        <v/>
      </c>
    </row>
    <row r="34">
      <c r="A34" s="8" t="n">
        <v>14</v>
      </c>
      <c r="B34" s="9" t="n"/>
      <c r="C34" s="11" t="n"/>
      <c r="D34" s="9" t="n"/>
      <c r="E34" s="28">
        <f>Proposal!H30</f>
        <v/>
      </c>
      <c r="F34" s="28">
        <f>'Milestone 1'!H30</f>
        <v/>
      </c>
      <c r="G34" s="28">
        <f>'Milestone 2'!H30</f>
        <v/>
      </c>
      <c r="H34" s="28">
        <f>Final!H30</f>
        <v/>
      </c>
      <c r="I34" s="28">
        <f>IF(COUNT(E34:H34)&lt;4,"",SUMPRODUCT(E34:H34,B5:E5)/SUM(B5:E5))</f>
        <v/>
      </c>
      <c r="J34" s="28">
        <f>IFERROR(MIN(100,INDEX($G$12:$G$17,MATCH(D34,$B$12:$B$17,0))*$B$8+I34*$C$8),"")</f>
        <v/>
      </c>
    </row>
    <row r="35">
      <c r="A35" s="8" t="n">
        <v>15</v>
      </c>
      <c r="B35" s="9" t="n"/>
      <c r="C35" s="11" t="n"/>
      <c r="D35" s="9" t="n"/>
      <c r="E35" s="28">
        <f>Proposal!H31</f>
        <v/>
      </c>
      <c r="F35" s="28">
        <f>'Milestone 1'!H31</f>
        <v/>
      </c>
      <c r="G35" s="28">
        <f>'Milestone 2'!H31</f>
        <v/>
      </c>
      <c r="H35" s="28">
        <f>Final!H31</f>
        <v/>
      </c>
      <c r="I35" s="28">
        <f>IF(COUNT(E35:H35)&lt;4,"",SUMPRODUCT(E35:H35,B5:E5)/SUM(B5:E5))</f>
        <v/>
      </c>
      <c r="J35" s="28">
        <f>IFERROR(MIN(100,INDEX($G$12:$G$17,MATCH(D35,$B$12:$B$17,0))*$B$8+I35*$C$8),"")</f>
        <v/>
      </c>
    </row>
    <row r="36">
      <c r="A36" s="8" t="n">
        <v>16</v>
      </c>
      <c r="B36" s="9" t="n"/>
      <c r="C36" s="11" t="n"/>
      <c r="D36" s="9" t="n"/>
      <c r="E36" s="28">
        <f>Proposal!H32</f>
        <v/>
      </c>
      <c r="F36" s="28">
        <f>'Milestone 1'!H32</f>
        <v/>
      </c>
      <c r="G36" s="28">
        <f>'Milestone 2'!H32</f>
        <v/>
      </c>
      <c r="H36" s="28">
        <f>Final!H32</f>
        <v/>
      </c>
      <c r="I36" s="28">
        <f>IF(COUNT(E36:H36)&lt;4,"",SUMPRODUCT(E36:H36,B5:E5)/SUM(B5:E5))</f>
        <v/>
      </c>
      <c r="J36" s="28">
        <f>IFERROR(MIN(100,INDEX($G$12:$G$17,MATCH(D36,$B$12:$B$17,0))*$B$8+I36*$C$8),"")</f>
        <v/>
      </c>
    </row>
    <row r="37">
      <c r="A37" s="8" t="n">
        <v>17</v>
      </c>
      <c r="B37" s="9" t="n"/>
      <c r="C37" s="11" t="n"/>
      <c r="D37" s="9" t="n"/>
      <c r="E37" s="28">
        <f>Proposal!H33</f>
        <v/>
      </c>
      <c r="F37" s="28">
        <f>'Milestone 1'!H33</f>
        <v/>
      </c>
      <c r="G37" s="28">
        <f>'Milestone 2'!H33</f>
        <v/>
      </c>
      <c r="H37" s="28">
        <f>Final!H33</f>
        <v/>
      </c>
      <c r="I37" s="28">
        <f>IF(COUNT(E37:H37)&lt;4,"",SUMPRODUCT(E37:H37,B5:E5)/SUM(B5:E5))</f>
        <v/>
      </c>
      <c r="J37" s="28">
        <f>IFERROR(MIN(100,INDEX($G$12:$G$17,MATCH(D37,$B$12:$B$17,0))*$B$8+I37*$C$8),"")</f>
        <v/>
      </c>
    </row>
    <row r="38">
      <c r="A38" s="8" t="n">
        <v>18</v>
      </c>
      <c r="B38" s="9" t="n"/>
      <c r="C38" s="11" t="n"/>
      <c r="D38" s="9" t="n"/>
      <c r="E38" s="28">
        <f>Proposal!H34</f>
        <v/>
      </c>
      <c r="F38" s="28">
        <f>'Milestone 1'!H34</f>
        <v/>
      </c>
      <c r="G38" s="28">
        <f>'Milestone 2'!H34</f>
        <v/>
      </c>
      <c r="H38" s="28">
        <f>Final!H34</f>
        <v/>
      </c>
      <c r="I38" s="28">
        <f>IF(COUNT(E38:H38)&lt;4,"",SUMPRODUCT(E38:H38,B5:E5)/SUM(B5:E5))</f>
        <v/>
      </c>
      <c r="J38" s="28">
        <f>IFERROR(MIN(100,INDEX($G$12:$G$17,MATCH(D38,$B$12:$B$17,0))*$B$8+I38*$C$8),"")</f>
        <v/>
      </c>
    </row>
    <row r="39">
      <c r="A39" s="8" t="n">
        <v>19</v>
      </c>
      <c r="B39" s="9" t="n"/>
      <c r="C39" s="11" t="n"/>
      <c r="D39" s="9" t="n"/>
      <c r="E39" s="28">
        <f>Proposal!H35</f>
        <v/>
      </c>
      <c r="F39" s="28">
        <f>'Milestone 1'!H35</f>
        <v/>
      </c>
      <c r="G39" s="28">
        <f>'Milestone 2'!H35</f>
        <v/>
      </c>
      <c r="H39" s="28">
        <f>Final!H35</f>
        <v/>
      </c>
      <c r="I39" s="28">
        <f>IF(COUNT(E39:H39)&lt;4,"",SUMPRODUCT(E39:H39,B5:E5)/SUM(B5:E5))</f>
        <v/>
      </c>
      <c r="J39" s="28">
        <f>IFERROR(MIN(100,INDEX($G$12:$G$17,MATCH(D39,$B$12:$B$17,0))*$B$8+I39*$C$8),"")</f>
        <v/>
      </c>
    </row>
    <row r="40">
      <c r="A40" s="8" t="n">
        <v>20</v>
      </c>
      <c r="B40" s="9" t="n"/>
      <c r="C40" s="11" t="n"/>
      <c r="D40" s="9" t="n"/>
      <c r="E40" s="28">
        <f>Proposal!H36</f>
        <v/>
      </c>
      <c r="F40" s="28">
        <f>'Milestone 1'!H36</f>
        <v/>
      </c>
      <c r="G40" s="28">
        <f>'Milestone 2'!H36</f>
        <v/>
      </c>
      <c r="H40" s="28">
        <f>Final!H36</f>
        <v/>
      </c>
      <c r="I40" s="28">
        <f>IF(COUNT(E40:H40)&lt;4,"",SUMPRODUCT(E40:H40,B5:E5)/SUM(B5:E5))</f>
        <v/>
      </c>
      <c r="J40" s="28">
        <f>IFERROR(MIN(100,INDEX($G$12:$G$17,MATCH(D40,$B$12:$B$17,0))*$B$8+I40*$C$8),"")</f>
        <v/>
      </c>
    </row>
    <row r="41">
      <c r="A41" s="8" t="n">
        <v>21</v>
      </c>
      <c r="B41" s="9" t="n"/>
      <c r="C41" s="11" t="n"/>
      <c r="D41" s="9" t="n"/>
      <c r="E41" s="28">
        <f>Proposal!H37</f>
        <v/>
      </c>
      <c r="F41" s="28">
        <f>'Milestone 1'!H37</f>
        <v/>
      </c>
      <c r="G41" s="28">
        <f>'Milestone 2'!H37</f>
        <v/>
      </c>
      <c r="H41" s="28">
        <f>Final!H37</f>
        <v/>
      </c>
      <c r="I41" s="28">
        <f>IF(COUNT(E41:H41)&lt;4,"",SUMPRODUCT(E41:H41,B5:E5)/SUM(B5:E5))</f>
        <v/>
      </c>
      <c r="J41" s="28">
        <f>IFERROR(MIN(100,INDEX($G$12:$G$17,MATCH(D41,$B$12:$B$17,0))*$B$8+I41*$C$8),"")</f>
        <v/>
      </c>
    </row>
    <row r="42">
      <c r="A42" s="8" t="n">
        <v>22</v>
      </c>
      <c r="B42" s="9" t="n"/>
      <c r="C42" s="11" t="n"/>
      <c r="D42" s="9" t="n"/>
      <c r="E42" s="28">
        <f>Proposal!H38</f>
        <v/>
      </c>
      <c r="F42" s="28">
        <f>'Milestone 1'!H38</f>
        <v/>
      </c>
      <c r="G42" s="28">
        <f>'Milestone 2'!H38</f>
        <v/>
      </c>
      <c r="H42" s="28">
        <f>Final!H38</f>
        <v/>
      </c>
      <c r="I42" s="28">
        <f>IF(COUNT(E42:H42)&lt;4,"",SUMPRODUCT(E42:H42,B5:E5)/SUM(B5:E5))</f>
        <v/>
      </c>
      <c r="J42" s="28">
        <f>IFERROR(MIN(100,INDEX($G$12:$G$17,MATCH(D42,$B$12:$B$17,0))*$B$8+I42*$C$8),"")</f>
        <v/>
      </c>
    </row>
    <row r="43">
      <c r="A43" s="8" t="n">
        <v>23</v>
      </c>
      <c r="B43" s="9" t="n"/>
      <c r="C43" s="11" t="n"/>
      <c r="D43" s="9" t="n"/>
      <c r="E43" s="28">
        <f>Proposal!H39</f>
        <v/>
      </c>
      <c r="F43" s="28">
        <f>'Milestone 1'!H39</f>
        <v/>
      </c>
      <c r="G43" s="28">
        <f>'Milestone 2'!H39</f>
        <v/>
      </c>
      <c r="H43" s="28">
        <f>Final!H39</f>
        <v/>
      </c>
      <c r="I43" s="28">
        <f>IF(COUNT(E43:H43)&lt;4,"",SUMPRODUCT(E43:H43,B5:E5)/SUM(B5:E5))</f>
        <v/>
      </c>
      <c r="J43" s="28">
        <f>IFERROR(MIN(100,INDEX($G$12:$G$17,MATCH(D43,$B$12:$B$17,0))*$B$8+I43*$C$8),"")</f>
        <v/>
      </c>
    </row>
    <row r="44">
      <c r="A44" s="8" t="n">
        <v>24</v>
      </c>
      <c r="B44" s="9" t="n"/>
      <c r="C44" s="11" t="n"/>
      <c r="D44" s="9" t="n"/>
      <c r="E44" s="28">
        <f>Proposal!H40</f>
        <v/>
      </c>
      <c r="F44" s="28">
        <f>'Milestone 1'!H40</f>
        <v/>
      </c>
      <c r="G44" s="28">
        <f>'Milestone 2'!H40</f>
        <v/>
      </c>
      <c r="H44" s="28">
        <f>Final!H40</f>
        <v/>
      </c>
      <c r="I44" s="28">
        <f>IF(COUNT(E44:H44)&lt;4,"",SUMPRODUCT(E44:H44,B5:E5)/SUM(B5:E5))</f>
        <v/>
      </c>
      <c r="J44" s="28">
        <f>IFERROR(MIN(100,INDEX($G$12:$G$17,MATCH(D44,$B$12:$B$17,0))*$B$8+I44*$C$8),"")</f>
        <v/>
      </c>
    </row>
    <row r="45">
      <c r="A45" s="8" t="n">
        <v>25</v>
      </c>
      <c r="B45" s="9" t="n"/>
      <c r="C45" s="11" t="n"/>
      <c r="D45" s="9" t="n"/>
      <c r="E45" s="28">
        <f>Proposal!H41</f>
        <v/>
      </c>
      <c r="F45" s="28">
        <f>'Milestone 1'!H41</f>
        <v/>
      </c>
      <c r="G45" s="28">
        <f>'Milestone 2'!H41</f>
        <v/>
      </c>
      <c r="H45" s="28">
        <f>Final!H41</f>
        <v/>
      </c>
      <c r="I45" s="28">
        <f>IF(COUNT(E45:H45)&lt;4,"",SUMPRODUCT(E45:H45,B5:E5)/SUM(B5:E5))</f>
        <v/>
      </c>
      <c r="J45" s="28">
        <f>IFERROR(MIN(100,INDEX($G$12:$G$17,MATCH(D45,$B$12:$B$17,0))*$B$8+I45*$C$8),"")</f>
        <v/>
      </c>
    </row>
    <row r="46">
      <c r="A46" s="8" t="n">
        <v>26</v>
      </c>
      <c r="B46" s="9" t="n"/>
      <c r="C46" s="11" t="n"/>
      <c r="D46" s="9" t="n"/>
      <c r="E46" s="28">
        <f>Proposal!H42</f>
        <v/>
      </c>
      <c r="F46" s="28">
        <f>'Milestone 1'!H42</f>
        <v/>
      </c>
      <c r="G46" s="28">
        <f>'Milestone 2'!H42</f>
        <v/>
      </c>
      <c r="H46" s="28">
        <f>Final!H42</f>
        <v/>
      </c>
      <c r="I46" s="28">
        <f>IF(COUNT(E46:H46)&lt;4,"",SUMPRODUCT(E46:H46,B5:E5)/SUM(B5:E5))</f>
        <v/>
      </c>
      <c r="J46" s="28">
        <f>IFERROR(MIN(100,INDEX($G$12:$G$17,MATCH(D46,$B$12:$B$17,0))*$B$8+I46*$C$8),"")</f>
        <v/>
      </c>
    </row>
    <row r="47">
      <c r="A47" s="8" t="n">
        <v>27</v>
      </c>
      <c r="B47" s="9" t="n"/>
      <c r="C47" s="11" t="n"/>
      <c r="D47" s="9" t="n"/>
      <c r="E47" s="28">
        <f>Proposal!H43</f>
        <v/>
      </c>
      <c r="F47" s="28">
        <f>'Milestone 1'!H43</f>
        <v/>
      </c>
      <c r="G47" s="28">
        <f>'Milestone 2'!H43</f>
        <v/>
      </c>
      <c r="H47" s="28">
        <f>Final!H43</f>
        <v/>
      </c>
      <c r="I47" s="28">
        <f>IF(COUNT(E47:H47)&lt;4,"",SUMPRODUCT(E47:H47,B5:E5)/SUM(B5:E5))</f>
        <v/>
      </c>
      <c r="J47" s="28">
        <f>IFERROR(MIN(100,INDEX($G$12:$G$17,MATCH(D47,$B$12:$B$17,0))*$B$8+I47*$C$8),"")</f>
        <v/>
      </c>
    </row>
    <row r="48">
      <c r="A48" s="8" t="n">
        <v>28</v>
      </c>
      <c r="B48" s="9" t="n"/>
      <c r="C48" s="11" t="n"/>
      <c r="D48" s="9" t="n"/>
      <c r="E48" s="28">
        <f>Proposal!H44</f>
        <v/>
      </c>
      <c r="F48" s="28">
        <f>'Milestone 1'!H44</f>
        <v/>
      </c>
      <c r="G48" s="28">
        <f>'Milestone 2'!H44</f>
        <v/>
      </c>
      <c r="H48" s="28">
        <f>Final!H44</f>
        <v/>
      </c>
      <c r="I48" s="28">
        <f>IF(COUNT(E48:H48)&lt;4,"",SUMPRODUCT(E48:H48,B5:E5)/SUM(B5:E5))</f>
        <v/>
      </c>
      <c r="J48" s="28">
        <f>IFERROR(MIN(100,INDEX($G$12:$G$17,MATCH(D48,$B$12:$B$17,0))*$B$8+I48*$C$8),"")</f>
        <v/>
      </c>
    </row>
    <row r="49">
      <c r="A49" s="8" t="n">
        <v>29</v>
      </c>
      <c r="B49" s="9" t="n"/>
      <c r="C49" s="11" t="n"/>
      <c r="D49" s="9" t="n"/>
      <c r="E49" s="28">
        <f>Proposal!H45</f>
        <v/>
      </c>
      <c r="F49" s="28">
        <f>'Milestone 1'!H45</f>
        <v/>
      </c>
      <c r="G49" s="28">
        <f>'Milestone 2'!H45</f>
        <v/>
      </c>
      <c r="H49" s="28">
        <f>Final!H45</f>
        <v/>
      </c>
      <c r="I49" s="28">
        <f>IF(COUNT(E49:H49)&lt;4,"",SUMPRODUCT(E49:H49,B5:E5)/SUM(B5:E5))</f>
        <v/>
      </c>
      <c r="J49" s="28">
        <f>IFERROR(MIN(100,INDEX($G$12:$G$17,MATCH(D49,$B$12:$B$17,0))*$B$8+I49*$C$8),"")</f>
        <v/>
      </c>
    </row>
    <row r="50">
      <c r="A50" s="8" t="n">
        <v>30</v>
      </c>
      <c r="B50" s="9" t="n"/>
      <c r="C50" s="11" t="n"/>
      <c r="D50" s="9" t="n"/>
      <c r="E50" s="28">
        <f>Proposal!H46</f>
        <v/>
      </c>
      <c r="F50" s="28">
        <f>'Milestone 1'!H46</f>
        <v/>
      </c>
      <c r="G50" s="28">
        <f>'Milestone 2'!H46</f>
        <v/>
      </c>
      <c r="H50" s="28">
        <f>Final!H46</f>
        <v/>
      </c>
      <c r="I50" s="28">
        <f>IF(COUNT(E50:H50)&lt;4,"",SUMPRODUCT(E50:H50,B5:E5)/SUM(B5:E5))</f>
        <v/>
      </c>
      <c r="J50" s="28">
        <f>IFERROR(MIN(100,INDEX($G$12:$G$17,MATCH(D50,$B$12:$B$17,0))*$B$8+I50*$C$8),"")</f>
        <v/>
      </c>
    </row>
  </sheetData>
  <mergeCells count="4">
    <mergeCell ref="A2:H2"/>
    <mergeCell ref="A10:G10"/>
    <mergeCell ref="A19:J19"/>
    <mergeCell ref="A1:H1"/>
  </mergeCells>
  <conditionalFormatting sqref="F5">
    <cfRule type="cellIs" priority="1" operator="notEqual" dxfId="0">
      <formula>1</formula>
    </cfRule>
  </conditionalFormatting>
  <conditionalFormatting sqref="D8">
    <cfRule type="cellIs" priority="2" operator="notEqual" dxfId="0">
      <formula>1</formula>
    </cfRule>
  </conditionalFormatting>
  <dataValidations count="1">
    <dataValidation sqref="D21 D22 D23 D24 D25 D26 D27 D28 D29 D30 D31 D32 D33 D34 D35 D36 D37 D38 D39 D40 D41 D42 D43 D44 D45 D46 D47 D48 D49 D50" showDropDown="0" showInputMessage="0" showErrorMessage="1" allowBlank="1" errorTitle="Tim tidak dikenali" error="Pilih nama tim dari daftar Rekap Nilai Tim." type="list">
      <formula1>$B$12:$B$17</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2026-09-07T10:26:00Z</dcterms:created>
  <dcterms:modified xsi:type="dcterms:W3CDTF">2026-09-09T10:00:22Z</dcterms:modified>
  <cp:lastModifiedBy>dhs</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1033-11.1.0.11723</vt:lpwstr>
  </property>
</Properties>
</file>