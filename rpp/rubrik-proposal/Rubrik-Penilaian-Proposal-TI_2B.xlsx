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o0u7D6TAkg6tw80s0GWlxQL42Mwna6D6" TargetMode="External" Id="rId1" /><Relationship Type="http://schemas.openxmlformats.org/officeDocument/2006/relationships/hyperlink" Target="https://drive.google.com/open?id=1G-p_UXANdrQaMuY-jqzRUeOAeMI2GjfO" TargetMode="External" Id="rId2" /><Relationship Type="http://schemas.openxmlformats.org/officeDocument/2006/relationships/hyperlink" Target="https://drive.google.com/open?id=1Babcp0mkI_9cSwSsjBk1iPoqD1ViA3_l" TargetMode="External" Id="rId3" /><Relationship Type="http://schemas.openxmlformats.org/officeDocument/2006/relationships/hyperlink" Target="https://drive.google.com/open?id=15_8IpDE3ko7RHMzTw9cLx3eZ5HA3ebBy" TargetMode="External" Id="rId4" /><Relationship Type="http://schemas.openxmlformats.org/officeDocument/2006/relationships/hyperlink" Target="https://drive.google.com/open?id=1BqYQEAfMX_2RYMgiHKKCaUG7XWuorzMY" TargetMode="External" Id="rId5" /><Relationship Type="http://schemas.openxmlformats.org/officeDocument/2006/relationships/hyperlink" Target="https://drive.google.com/open?id=1B13PQ9Z0IRCHu8WDKbP1fBdyEmdOq8tc" TargetMode="External" Id="rId6" /><Relationship Type="http://schemas.openxmlformats.org/officeDocument/2006/relationships/hyperlink" Target="https://drive.google.com/open?id=1jAR4PM0fS3v_t7y5csxz4Mqc7bK1D06F" TargetMode="External" Id="rId7" /></Relationships>
</file>

<file path=xl/worksheets/_rels/sheet4.xml.rels><Relationships xmlns="http://schemas.openxmlformats.org/package/2006/relationships"><Relationship Type="http://schemas.openxmlformats.org/officeDocument/2006/relationships/hyperlink" Target="https://drive.google.com/open?id=1o0u7D6TAkg6tw80s0GWlxQL42Mwna6D6" TargetMode="External" Id="rId1" /><Relationship Type="http://schemas.openxmlformats.org/officeDocument/2006/relationships/hyperlink" Target="https://drive.google.com/open?id=1G-p_UXANdrQaMuY-jqzRUeOAeMI2GjfO" TargetMode="External" Id="rId2" /><Relationship Type="http://schemas.openxmlformats.org/officeDocument/2006/relationships/hyperlink" Target="https://drive.google.com/open?id=1Babcp0mkI_9cSwSsjBk1iPoqD1ViA3_l" TargetMode="External" Id="rId3" /><Relationship Type="http://schemas.openxmlformats.org/officeDocument/2006/relationships/hyperlink" Target="https://drive.google.com/open?id=15_8IpDE3ko7RHMzTw9cLx3eZ5HA3ebBy" TargetMode="External" Id="rId4" /><Relationship Type="http://schemas.openxmlformats.org/officeDocument/2006/relationships/hyperlink" Target="https://drive.google.com/open?id=1BqYQEAfMX_2RYMgiHKKCaUG7XWuorzMY" TargetMode="External" Id="rId5" /><Relationship Type="http://schemas.openxmlformats.org/officeDocument/2006/relationships/hyperlink" Target="https://drive.google.com/open?id=1B13PQ9Z0IRCHu8WDKbP1fBdyEmdOq8tc" TargetMode="External" Id="rId6" /><Relationship Type="http://schemas.openxmlformats.org/officeDocument/2006/relationships/hyperlink" Target="https://drive.google.com/open?id=1jAR4PM0fS3v_t7y5csxz4Mqc7bK1D06F" TargetMode="External" Id="rId7" /></Relationships>
</file>

<file path=xl/worksheets/_rels/sheet5.xml.rels><Relationships xmlns="http://schemas.openxmlformats.org/package/2006/relationships"><Relationship Type="http://schemas.openxmlformats.org/officeDocument/2006/relationships/hyperlink" Target="https://drive.google.com/open?id=1o0u7D6TAkg6tw80s0GWlxQL42Mwna6D6" TargetMode="External" Id="rId1" /><Relationship Type="http://schemas.openxmlformats.org/officeDocument/2006/relationships/hyperlink" Target="https://drive.google.com/open?id=1G-p_UXANdrQaMuY-jqzRUeOAeMI2GjfO" TargetMode="External" Id="rId2" /><Relationship Type="http://schemas.openxmlformats.org/officeDocument/2006/relationships/hyperlink" Target="https://drive.google.com/open?id=1Babcp0mkI_9cSwSsjBk1iPoqD1ViA3_l" TargetMode="External" Id="rId3" /><Relationship Type="http://schemas.openxmlformats.org/officeDocument/2006/relationships/hyperlink" Target="https://drive.google.com/open?id=15_8IpDE3ko7RHMzTw9cLx3eZ5HA3ebBy" TargetMode="External" Id="rId4" /><Relationship Type="http://schemas.openxmlformats.org/officeDocument/2006/relationships/hyperlink" Target="https://drive.google.com/open?id=1BqYQEAfMX_2RYMgiHKKCaUG7XWuorzMY" TargetMode="External" Id="rId5" /><Relationship Type="http://schemas.openxmlformats.org/officeDocument/2006/relationships/hyperlink" Target="https://drive.google.com/open?id=1B13PQ9Z0IRCHu8WDKbP1fBdyEmdOq8tc" TargetMode="External" Id="rId6" /><Relationship Type="http://schemas.openxmlformats.org/officeDocument/2006/relationships/hyperlink" Target="https://drive.google.com/open?id=1jAR4PM0fS3v_t7y5csxz4Mqc7bK1D06F" TargetMode="External" Id="rId7" /></Relationships>
</file>

<file path=xl/worksheets/_rels/sheet6.xml.rels><Relationships xmlns="http://schemas.openxmlformats.org/package/2006/relationships"><Relationship Type="http://schemas.openxmlformats.org/officeDocument/2006/relationships/hyperlink" Target="https://drive.google.com/open?id=1o0u7D6TAkg6tw80s0GWlxQL42Mwna6D6" TargetMode="External" Id="rId1" /><Relationship Type="http://schemas.openxmlformats.org/officeDocument/2006/relationships/hyperlink" Target="https://drive.google.com/open?id=1G-p_UXANdrQaMuY-jqzRUeOAeMI2GjfO" TargetMode="External" Id="rId2" /><Relationship Type="http://schemas.openxmlformats.org/officeDocument/2006/relationships/hyperlink" Target="https://drive.google.com/open?id=1Babcp0mkI_9cSwSsjBk1iPoqD1ViA3_l" TargetMode="External" Id="rId3" /><Relationship Type="http://schemas.openxmlformats.org/officeDocument/2006/relationships/hyperlink" Target="https://drive.google.com/open?id=15_8IpDE3ko7RHMzTw9cLx3eZ5HA3ebBy" TargetMode="External" Id="rId4" /><Relationship Type="http://schemas.openxmlformats.org/officeDocument/2006/relationships/hyperlink" Target="https://drive.google.com/open?id=1BqYQEAfMX_2RYMgiHKKCaUG7XWuorzMY" TargetMode="External" Id="rId5" /><Relationship Type="http://schemas.openxmlformats.org/officeDocument/2006/relationships/hyperlink" Target="https://drive.google.com/open?id=1B13PQ9Z0IRCHu8WDKbP1fBdyEmdOq8tc" TargetMode="External" Id="rId6" /><Relationship Type="http://schemas.openxmlformats.org/officeDocument/2006/relationships/hyperlink" Target="https://drive.google.com/open?id=1jAR4PM0fS3v_t7y5csxz4Mqc7bK1D06F" TargetMode="External" Id="rId7" /></Relationships>
</file>

<file path=xl/worksheets/_rels/sheet7.xml.rels><Relationships xmlns="http://schemas.openxmlformats.org/package/2006/relationships"><Relationship Type="http://schemas.openxmlformats.org/officeDocument/2006/relationships/hyperlink" Target="https://drive.google.com/open?id=1o0u7D6TAkg6tw80s0GWlxQL42Mwna6D6" TargetMode="External" Id="rId1" /><Relationship Type="http://schemas.openxmlformats.org/officeDocument/2006/relationships/hyperlink" Target="https://drive.google.com/open?id=1G-p_UXANdrQaMuY-jqzRUeOAeMI2GjfO" TargetMode="External" Id="rId2" /><Relationship Type="http://schemas.openxmlformats.org/officeDocument/2006/relationships/hyperlink" Target="https://drive.google.com/open?id=1Babcp0mkI_9cSwSsjBk1iPoqD1ViA3_l" TargetMode="External" Id="rId3" /><Relationship Type="http://schemas.openxmlformats.org/officeDocument/2006/relationships/hyperlink" Target="https://drive.google.com/open?id=15_8IpDE3ko7RHMzTw9cLx3eZ5HA3ebBy" TargetMode="External" Id="rId4" /><Relationship Type="http://schemas.openxmlformats.org/officeDocument/2006/relationships/hyperlink" Target="https://drive.google.com/open?id=1BqYQEAfMX_2RYMgiHKKCaUG7XWuorzMY" TargetMode="External" Id="rId5" /><Relationship Type="http://schemas.openxmlformats.org/officeDocument/2006/relationships/hyperlink" Target="https://drive.google.com/open?id=1B13PQ9Z0IRCHu8WDKbP1fBdyEmdOq8tc" TargetMode="External" Id="rId6" /><Relationship Type="http://schemas.openxmlformats.org/officeDocument/2006/relationships/hyperlink" Target="https://drive.google.com/open?id=1jAR4PM0fS3v_t7y5csxz4Mqc7bK1D06F" TargetMode="External" Id="rId7"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TI_2B</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TI_2B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TI_2B - Dosen Pengampu: Pramana Yoga Saputra, S.Kom., MMT.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2G2B</t>
        </is>
      </c>
      <c r="C7" s="14" t="inlineStr">
        <is>
          <t>Mukhammad Raffi Zabra</t>
        </is>
      </c>
      <c r="D7" s="15" t="inlineStr">
        <is>
          <t>Dandin Sesilia (254107020142)
Muhammad Ridwan A (254107020187)
Mukhammad Raffi Zabra (254107020059)
Naura Fadhilla Aditya P (254107020007)</t>
        </is>
      </c>
      <c r="E7" s="4" t="inlineStr">
        <is>
          <t>SITEMAN -KOS (Sistem Manajemen Operasional Kos)</t>
        </is>
      </c>
      <c r="F7" s="16" t="n"/>
      <c r="G7" s="16" t="n"/>
      <c r="H7" s="16" t="n"/>
      <c r="I7" s="16" t="n"/>
      <c r="J7" s="16" t="n"/>
      <c r="K7" s="16" t="n"/>
      <c r="L7" s="11">
        <f>IF(COUNT(F7:K7)&lt;6,"",SUMPRODUCT(F7:K7,$F$6:$K$6)/SUM($F$6:$K$6)/5*100)</f>
        <v/>
      </c>
      <c r="M7" s="15" t="n"/>
      <c r="N7" s="17" t="inlineStr">
        <is>
          <t>Buka tautan Drive</t>
        </is>
      </c>
    </row>
    <row r="8">
      <c r="A8" s="9" t="n">
        <v>2</v>
      </c>
      <c r="B8" s="14" t="inlineStr">
        <is>
          <t>kePASTIan</t>
        </is>
      </c>
      <c r="C8" s="14" t="inlineStr">
        <is>
          <t>Rayana Jaka Surya</t>
        </is>
      </c>
      <c r="D8" s="15" t="inlineStr">
        <is>
          <t>Ketua: Rayana Jaka Surya</t>
        </is>
      </c>
      <c r="E8" s="4" t="inlineStr">
        <is>
          <t>PASTI: Pusat Manajemen Servis dan Teknologi Informasi</t>
        </is>
      </c>
      <c r="F8" s="16" t="n"/>
      <c r="G8" s="16" t="n"/>
      <c r="H8" s="16" t="n"/>
      <c r="I8" s="16" t="n"/>
      <c r="J8" s="16" t="n"/>
      <c r="K8" s="16" t="n"/>
      <c r="L8" s="11">
        <f>IF(COUNT(F8:K8)&lt;6,"",SUMPRODUCT(F8:K8,$F$6:$K$6)/SUM($F$6:$K$6)/5*100)</f>
        <v/>
      </c>
      <c r="M8" s="15" t="n"/>
      <c r="N8" s="17" t="inlineStr">
        <is>
          <t>Buka tautan Drive</t>
        </is>
      </c>
    </row>
    <row r="9">
      <c r="A9" s="9" t="n">
        <v>3</v>
      </c>
      <c r="B9" s="14" t="inlineStr">
        <is>
          <t>KREANOVA</t>
        </is>
      </c>
      <c r="C9" s="14" t="inlineStr">
        <is>
          <t>Khohar Muhammad Fatahurrohman</t>
        </is>
      </c>
      <c r="D9" s="15" t="inlineStr">
        <is>
          <t>Khohar Muhammad Fatahurrohman (254107020021)
Jiada Mizan Firdaus (254107020190)
Dionisius Dimas Nanda Karyanto (254107020094)
M. Tahtian Fahreza (254107020053)</t>
        </is>
      </c>
      <c r="E9" s="4" t="inlineStr">
        <is>
          <t>FASTENDER</t>
        </is>
      </c>
      <c r="F9" s="16" t="n"/>
      <c r="G9" s="16" t="n"/>
      <c r="H9" s="16" t="n"/>
      <c r="I9" s="16" t="n"/>
      <c r="J9" s="16" t="n"/>
      <c r="K9" s="16" t="n"/>
      <c r="L9" s="11">
        <f>IF(COUNT(F9:K9)&lt;6,"",SUMPRODUCT(F9:K9,$F$6:$K$6)/SUM($F$6:$K$6)/5*100)</f>
        <v/>
      </c>
      <c r="M9" s="15" t="n"/>
      <c r="N9" s="17" t="inlineStr">
        <is>
          <t>Buka tautan Drive</t>
        </is>
      </c>
    </row>
    <row r="10">
      <c r="A10" s="9" t="n">
        <v>4</v>
      </c>
      <c r="B10" s="14" t="inlineStr">
        <is>
          <t>Tim Berbagi Adil</t>
        </is>
      </c>
      <c r="C10" s="14" t="inlineStr">
        <is>
          <t>RAYHAN JOFAN HALIM</t>
        </is>
      </c>
      <c r="D10" s="15" t="inlineStr">
        <is>
          <t>Rayhan Jofan Halim (254107020230)
M. Ihsan Nabil (254107020196)
Elsa Marthalinda (254107020204)
M.Fakhrur Rozi Nur (254107020207)</t>
        </is>
      </c>
      <c r="E10" s="4" t="inlineStr">
        <is>
          <t>FAIRSHARE: SISTEM PEMANTAUAN KONTRIBUSI DAN AUDIT TRANSPARANSI KERJA KOLABORATIF BERBASIS TELEMETRI DOKUMEN DAN REPOSITORI KODE</t>
        </is>
      </c>
      <c r="F10" s="16" t="n"/>
      <c r="G10" s="16" t="n"/>
      <c r="H10" s="16" t="n"/>
      <c r="I10" s="16" t="n"/>
      <c r="J10" s="16" t="n"/>
      <c r="K10" s="16" t="n"/>
      <c r="L10" s="11">
        <f>IF(COUNT(F10:K10)&lt;6,"",SUMPRODUCT(F10:K10,$F$6:$K$6)/SUM($F$6:$K$6)/5*100)</f>
        <v/>
      </c>
      <c r="M10" s="15" t="n"/>
      <c r="N10" s="17" t="inlineStr">
        <is>
          <t>Buka tautan Drive</t>
        </is>
      </c>
    </row>
    <row r="11">
      <c r="A11" s="9" t="n">
        <v>5</v>
      </c>
      <c r="B11" s="14" t="inlineStr">
        <is>
          <t>404: Sleep Not Found</t>
        </is>
      </c>
      <c r="C11" s="14" t="inlineStr">
        <is>
          <t>Ahmad Rafid Riqkullah</t>
        </is>
      </c>
      <c r="D11" s="15" t="inlineStr">
        <is>
          <t>Ahmad Rafid Riqkullah (254107020078)
I Gusti Agung Timothy P.A.P (254107020157)
Inas Asami El Murtadho (254107020165)
Muhammad Toriq Januarsyah (254107020075)</t>
        </is>
      </c>
      <c r="E11" s="4" t="inlineStr">
        <is>
          <t>SI-DRIPP (Sistem Informasi Pendataan Stok dan Transaksi MKP Store)</t>
        </is>
      </c>
      <c r="F11" s="16" t="n"/>
      <c r="G11" s="16" t="n"/>
      <c r="H11" s="16" t="n"/>
      <c r="I11" s="16" t="n"/>
      <c r="J11" s="16" t="n"/>
      <c r="K11" s="16" t="n"/>
      <c r="L11" s="11">
        <f>IF(COUNT(F11:K11)&lt;6,"",SUMPRODUCT(F11:K11,$F$6:$K$6)/SUM($F$6:$K$6)/5*100)</f>
        <v/>
      </c>
      <c r="M11" s="15" t="n"/>
      <c r="N11" s="17" t="inlineStr">
        <is>
          <t>Buka tautan Drive</t>
        </is>
      </c>
    </row>
    <row r="12">
      <c r="A12" s="9" t="n">
        <v>6</v>
      </c>
      <c r="B12" s="14" t="inlineStr">
        <is>
          <t>2B-Kelompok 5</t>
        </is>
      </c>
      <c r="C12" s="14" t="inlineStr">
        <is>
          <t>Christian Nugraha Widyawan</t>
        </is>
      </c>
      <c r="D12" s="15" t="inlineStr">
        <is>
          <t>Christian Nugraha Widyawan (254107020089)
Senja Bayu Windiya (254107020061)
Adis Nayottama Indra Zaki (254107020044)
Rajwa Ega Ganeswara (254107020205)</t>
        </is>
      </c>
      <c r="E12" s="4" t="inlineStr">
        <is>
          <t>SISTEM INFORMASI MANAJEMEN RENTAL KAMERA DAN PERALATAN FOTOGRAFI CARMENT (CAMERA RENT AND EQUIPMENT)</t>
        </is>
      </c>
      <c r="F12" s="16" t="n"/>
      <c r="G12" s="16" t="n"/>
      <c r="H12" s="16" t="n"/>
      <c r="I12" s="16" t="n"/>
      <c r="J12" s="16" t="n"/>
      <c r="K12" s="16" t="n"/>
      <c r="L12" s="11">
        <f>IF(COUNT(F12:K12)&lt;6,"",SUMPRODUCT(F12:K12,$F$6:$K$6)/SUM($F$6:$K$6)/5*100)</f>
        <v/>
      </c>
      <c r="M12" s="15" t="n"/>
      <c r="N12" s="17" t="inlineStr">
        <is>
          <t>Buka tautan Drive</t>
        </is>
      </c>
    </row>
    <row r="13">
      <c r="A13" s="9" t="n">
        <v>7</v>
      </c>
      <c r="B13" s="14" t="inlineStr">
        <is>
          <t>2B Kelompok 7</t>
        </is>
      </c>
      <c r="C13" s="14" t="inlineStr">
        <is>
          <t>Zhafran Adya Sullu Abimata</t>
        </is>
      </c>
      <c r="D13" s="15" t="inlineStr">
        <is>
          <t>Ahmad Risal Ali Pasha (254107020146)
Rofiq Aristiyawan (254107020060)
Syaikhan Agil El Dzaky (254107020131)
Zhafran Adya Sullu Abimata (254107020111)</t>
        </is>
      </c>
      <c r="E13" s="4" t="inlineStr">
        <is>
          <t>SIMART: Sistem Informasi Manajemen Rumah Budaya Ratna</t>
        </is>
      </c>
      <c r="F13" s="16" t="n"/>
      <c r="G13" s="16" t="n"/>
      <c r="H13" s="16" t="n"/>
      <c r="I13" s="16" t="n"/>
      <c r="J13" s="16" t="n"/>
      <c r="K13" s="16" t="n"/>
      <c r="L13" s="11">
        <f>IF(COUNT(F13:K13)&lt;6,"",SUMPRODUCT(F13:K13,$F$6:$K$6)/SUM($F$6:$K$6)/5*100)</f>
        <v/>
      </c>
      <c r="M13" s="15" t="n"/>
      <c r="N13" s="17" t="inlineStr">
        <is>
          <t>Buka tautan Drive</t>
        </is>
      </c>
    </row>
  </sheetData>
  <mergeCells count="3">
    <mergeCell ref="A4:N4"/>
    <mergeCell ref="A2:N2"/>
    <mergeCell ref="A1:N1"/>
  </mergeCells>
  <dataValidations count="1">
    <dataValidation sqref="F7 F8 F9 F10 F11 F12 F13 G7 G8 G9 G10 G11 G12 G13 H7 H8 H9 H10 H11 H12 H13 I7 I8 I9 I10 I11 I12 I13 J7 J8 J9 J10 J11 J12 J13 K7 K8 K9 K10 K11 K12 K13"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TI_2B - Dosen Pengampu: Muhammad Unggul Pamenang, S.St.,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2G2B</t>
        </is>
      </c>
      <c r="C7" s="14" t="inlineStr">
        <is>
          <t>Mukhammad Raffi Zabra</t>
        </is>
      </c>
      <c r="D7" s="15" t="inlineStr">
        <is>
          <t>Dandin Sesilia (254107020142)
Muhammad Ridwan A (254107020187)
Mukhammad Raffi Zabra (254107020059)
Naura Fadhilla Aditya P (254107020007)</t>
        </is>
      </c>
      <c r="E7" s="4" t="inlineStr">
        <is>
          <t>SITEMAN -KOS (Sistem Manajemen Operasional Kos)</t>
        </is>
      </c>
      <c r="F7" s="16" t="n"/>
      <c r="G7" s="16" t="n"/>
      <c r="H7" s="16" t="n"/>
      <c r="I7" s="16" t="n"/>
      <c r="J7" s="16" t="n"/>
      <c r="K7" s="16" t="n"/>
      <c r="L7" s="11">
        <f>IF(COUNT(F7:K7)&lt;6,"",SUMPRODUCT(F7:K7,$F$6:$K$6)/SUM($F$6:$K$6)/5*100)</f>
        <v/>
      </c>
      <c r="M7" s="15" t="n"/>
      <c r="N7" s="17" t="inlineStr">
        <is>
          <t>Buka tautan Drive</t>
        </is>
      </c>
    </row>
    <row r="8">
      <c r="A8" s="9" t="n">
        <v>2</v>
      </c>
      <c r="B8" s="14" t="inlineStr">
        <is>
          <t>kePASTIan</t>
        </is>
      </c>
      <c r="C8" s="14" t="inlineStr">
        <is>
          <t>Rayana Jaka Surya</t>
        </is>
      </c>
      <c r="D8" s="15" t="inlineStr">
        <is>
          <t>Ketua: Rayana Jaka Surya</t>
        </is>
      </c>
      <c r="E8" s="4" t="inlineStr">
        <is>
          <t>PASTI: Pusat Manajemen Servis dan Teknologi Informasi</t>
        </is>
      </c>
      <c r="F8" s="16" t="n"/>
      <c r="G8" s="16" t="n"/>
      <c r="H8" s="16" t="n"/>
      <c r="I8" s="16" t="n"/>
      <c r="J8" s="16" t="n"/>
      <c r="K8" s="16" t="n"/>
      <c r="L8" s="11">
        <f>IF(COUNT(F8:K8)&lt;6,"",SUMPRODUCT(F8:K8,$F$6:$K$6)/SUM($F$6:$K$6)/5*100)</f>
        <v/>
      </c>
      <c r="M8" s="15" t="n"/>
      <c r="N8" s="17" t="inlineStr">
        <is>
          <t>Buka tautan Drive</t>
        </is>
      </c>
    </row>
    <row r="9">
      <c r="A9" s="9" t="n">
        <v>3</v>
      </c>
      <c r="B9" s="14" t="inlineStr">
        <is>
          <t>KREANOVA</t>
        </is>
      </c>
      <c r="C9" s="14" t="inlineStr">
        <is>
          <t>Khohar Muhammad Fatahurrohman</t>
        </is>
      </c>
      <c r="D9" s="15" t="inlineStr">
        <is>
          <t>Khohar Muhammad Fatahurrohman (254107020021)
Jiada Mizan Firdaus (254107020190)
Dionisius Dimas Nanda Karyanto (254107020094)
M. Tahtian Fahreza (254107020053)</t>
        </is>
      </c>
      <c r="E9" s="4" t="inlineStr">
        <is>
          <t>FASTENDER</t>
        </is>
      </c>
      <c r="F9" s="16" t="n"/>
      <c r="G9" s="16" t="n"/>
      <c r="H9" s="16" t="n"/>
      <c r="I9" s="16" t="n"/>
      <c r="J9" s="16" t="n"/>
      <c r="K9" s="16" t="n"/>
      <c r="L9" s="11">
        <f>IF(COUNT(F9:K9)&lt;6,"",SUMPRODUCT(F9:K9,$F$6:$K$6)/SUM($F$6:$K$6)/5*100)</f>
        <v/>
      </c>
      <c r="M9" s="15" t="n"/>
      <c r="N9" s="17" t="inlineStr">
        <is>
          <t>Buka tautan Drive</t>
        </is>
      </c>
    </row>
    <row r="10">
      <c r="A10" s="9" t="n">
        <v>4</v>
      </c>
      <c r="B10" s="14" t="inlineStr">
        <is>
          <t>Tim Berbagi Adil</t>
        </is>
      </c>
      <c r="C10" s="14" t="inlineStr">
        <is>
          <t>RAYHAN JOFAN HALIM</t>
        </is>
      </c>
      <c r="D10" s="15" t="inlineStr">
        <is>
          <t>Rayhan Jofan Halim (254107020230)
M. Ihsan Nabil (254107020196)
Elsa Marthalinda (254107020204)
M.Fakhrur Rozi Nur (254107020207)</t>
        </is>
      </c>
      <c r="E10" s="4" t="inlineStr">
        <is>
          <t>FAIRSHARE: SISTEM PEMANTAUAN KONTRIBUSI DAN AUDIT TRANSPARANSI KERJA KOLABORATIF BERBASIS TELEMETRI DOKUMEN DAN REPOSITORI KODE</t>
        </is>
      </c>
      <c r="F10" s="16" t="n"/>
      <c r="G10" s="16" t="n"/>
      <c r="H10" s="16" t="n"/>
      <c r="I10" s="16" t="n"/>
      <c r="J10" s="16" t="n"/>
      <c r="K10" s="16" t="n"/>
      <c r="L10" s="11">
        <f>IF(COUNT(F10:K10)&lt;6,"",SUMPRODUCT(F10:K10,$F$6:$K$6)/SUM($F$6:$K$6)/5*100)</f>
        <v/>
      </c>
      <c r="M10" s="15" t="n"/>
      <c r="N10" s="17" t="inlineStr">
        <is>
          <t>Buka tautan Drive</t>
        </is>
      </c>
    </row>
    <row r="11">
      <c r="A11" s="9" t="n">
        <v>5</v>
      </c>
      <c r="B11" s="14" t="inlineStr">
        <is>
          <t>404: Sleep Not Found</t>
        </is>
      </c>
      <c r="C11" s="14" t="inlineStr">
        <is>
          <t>Ahmad Rafid Riqkullah</t>
        </is>
      </c>
      <c r="D11" s="15" t="inlineStr">
        <is>
          <t>Ahmad Rafid Riqkullah (254107020078)
I Gusti Agung Timothy P.A.P (254107020157)
Inas Asami El Murtadho (254107020165)
Muhammad Toriq Januarsyah (254107020075)</t>
        </is>
      </c>
      <c r="E11" s="4" t="inlineStr">
        <is>
          <t>SI-DRIPP (Sistem Informasi Pendataan Stok dan Transaksi MKP Store)</t>
        </is>
      </c>
      <c r="F11" s="16" t="n"/>
      <c r="G11" s="16" t="n"/>
      <c r="H11" s="16" t="n"/>
      <c r="I11" s="16" t="n"/>
      <c r="J11" s="16" t="n"/>
      <c r="K11" s="16" t="n"/>
      <c r="L11" s="11">
        <f>IF(COUNT(F11:K11)&lt;6,"",SUMPRODUCT(F11:K11,$F$6:$K$6)/SUM($F$6:$K$6)/5*100)</f>
        <v/>
      </c>
      <c r="M11" s="15" t="n"/>
      <c r="N11" s="17" t="inlineStr">
        <is>
          <t>Buka tautan Drive</t>
        </is>
      </c>
    </row>
    <row r="12">
      <c r="A12" s="9" t="n">
        <v>6</v>
      </c>
      <c r="B12" s="14" t="inlineStr">
        <is>
          <t>2B-Kelompok 5</t>
        </is>
      </c>
      <c r="C12" s="14" t="inlineStr">
        <is>
          <t>Christian Nugraha Widyawan</t>
        </is>
      </c>
      <c r="D12" s="15" t="inlineStr">
        <is>
          <t>Christian Nugraha Widyawan (254107020089)
Senja Bayu Windiya (254107020061)
Adis Nayottama Indra Zaki (254107020044)
Rajwa Ega Ganeswara (254107020205)</t>
        </is>
      </c>
      <c r="E12" s="4" t="inlineStr">
        <is>
          <t>SISTEM INFORMASI MANAJEMEN RENTAL KAMERA DAN PERALATAN FOTOGRAFI CARMENT (CAMERA RENT AND EQUIPMENT)</t>
        </is>
      </c>
      <c r="F12" s="16" t="n"/>
      <c r="G12" s="16" t="n"/>
      <c r="H12" s="16" t="n"/>
      <c r="I12" s="16" t="n"/>
      <c r="J12" s="16" t="n"/>
      <c r="K12" s="16" t="n"/>
      <c r="L12" s="11">
        <f>IF(COUNT(F12:K12)&lt;6,"",SUMPRODUCT(F12:K12,$F$6:$K$6)/SUM($F$6:$K$6)/5*100)</f>
        <v/>
      </c>
      <c r="M12" s="15" t="n"/>
      <c r="N12" s="17" t="inlineStr">
        <is>
          <t>Buka tautan Drive</t>
        </is>
      </c>
    </row>
    <row r="13">
      <c r="A13" s="9" t="n">
        <v>7</v>
      </c>
      <c r="B13" s="14" t="inlineStr">
        <is>
          <t>2B Kelompok 7</t>
        </is>
      </c>
      <c r="C13" s="14" t="inlineStr">
        <is>
          <t>Zhafran Adya Sullu Abimata</t>
        </is>
      </c>
      <c r="D13" s="15" t="inlineStr">
        <is>
          <t>Ahmad Risal Ali Pasha (254107020146)
Rofiq Aristiyawan (254107020060)
Syaikhan Agil El Dzaky (254107020131)
Zhafran Adya Sullu Abimata (254107020111)</t>
        </is>
      </c>
      <c r="E13" s="4" t="inlineStr">
        <is>
          <t>SIMART: Sistem Informasi Manajemen Rumah Budaya Ratna</t>
        </is>
      </c>
      <c r="F13" s="16" t="n"/>
      <c r="G13" s="16" t="n"/>
      <c r="H13" s="16" t="n"/>
      <c r="I13" s="16" t="n"/>
      <c r="J13" s="16" t="n"/>
      <c r="K13" s="16" t="n"/>
      <c r="L13" s="11">
        <f>IF(COUNT(F13:K13)&lt;6,"",SUMPRODUCT(F13:K13,$F$6:$K$6)/SUM($F$6:$K$6)/5*100)</f>
        <v/>
      </c>
      <c r="M13" s="15" t="n"/>
      <c r="N13" s="17" t="inlineStr">
        <is>
          <t>Buka tautan Drive</t>
        </is>
      </c>
    </row>
  </sheetData>
  <mergeCells count="3">
    <mergeCell ref="A4:N4"/>
    <mergeCell ref="A2:N2"/>
    <mergeCell ref="A1:N1"/>
  </mergeCells>
  <dataValidations count="1">
    <dataValidation sqref="F7 F8 F9 F10 F11 F12 F13 G7 G8 G9 G10 G11 G12 G13 H7 H8 H9 H10 H11 H12 H13 I7 I8 I9 I10 I11 I12 I13 J7 J8 J9 J10 J11 J12 J13 K7 K8 K9 K10 K11 K12 K13"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TI_2B - Dosen Pengampu: Candra Bella Vista, S.Kom.,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2G2B</t>
        </is>
      </c>
      <c r="C7" s="14" t="inlineStr">
        <is>
          <t>Mukhammad Raffi Zabra</t>
        </is>
      </c>
      <c r="D7" s="15" t="inlineStr">
        <is>
          <t>Dandin Sesilia (254107020142)
Muhammad Ridwan A (254107020187)
Mukhammad Raffi Zabra (254107020059)
Naura Fadhilla Aditya P (254107020007)</t>
        </is>
      </c>
      <c r="E7" s="4" t="inlineStr">
        <is>
          <t>SITEMAN -KOS (Sistem Manajemen Operasional Kos)</t>
        </is>
      </c>
      <c r="F7" s="16" t="n"/>
      <c r="G7" s="16" t="n"/>
      <c r="H7" s="16" t="n"/>
      <c r="I7" s="16" t="n"/>
      <c r="J7" s="16" t="n"/>
      <c r="K7" s="16" t="n"/>
      <c r="L7" s="11">
        <f>IF(COUNT(F7:K7)&lt;6,"",SUMPRODUCT(F7:K7,$F$6:$K$6)/SUM($F$6:$K$6)/5*100)</f>
        <v/>
      </c>
      <c r="M7" s="15" t="n"/>
      <c r="N7" s="17" t="inlineStr">
        <is>
          <t>Buka tautan Drive</t>
        </is>
      </c>
    </row>
    <row r="8">
      <c r="A8" s="9" t="n">
        <v>2</v>
      </c>
      <c r="B8" s="14" t="inlineStr">
        <is>
          <t>kePASTIan</t>
        </is>
      </c>
      <c r="C8" s="14" t="inlineStr">
        <is>
          <t>Rayana Jaka Surya</t>
        </is>
      </c>
      <c r="D8" s="15" t="inlineStr">
        <is>
          <t>Ketua: Rayana Jaka Surya</t>
        </is>
      </c>
      <c r="E8" s="4" t="inlineStr">
        <is>
          <t>PASTI: Pusat Manajemen Servis dan Teknologi Informasi</t>
        </is>
      </c>
      <c r="F8" s="16" t="n"/>
      <c r="G8" s="16" t="n"/>
      <c r="H8" s="16" t="n"/>
      <c r="I8" s="16" t="n"/>
      <c r="J8" s="16" t="n"/>
      <c r="K8" s="16" t="n"/>
      <c r="L8" s="11">
        <f>IF(COUNT(F8:K8)&lt;6,"",SUMPRODUCT(F8:K8,$F$6:$K$6)/SUM($F$6:$K$6)/5*100)</f>
        <v/>
      </c>
      <c r="M8" s="15" t="n"/>
      <c r="N8" s="17" t="inlineStr">
        <is>
          <t>Buka tautan Drive</t>
        </is>
      </c>
    </row>
    <row r="9">
      <c r="A9" s="9" t="n">
        <v>3</v>
      </c>
      <c r="B9" s="14" t="inlineStr">
        <is>
          <t>KREANOVA</t>
        </is>
      </c>
      <c r="C9" s="14" t="inlineStr">
        <is>
          <t>Khohar Muhammad Fatahurrohman</t>
        </is>
      </c>
      <c r="D9" s="15" t="inlineStr">
        <is>
          <t>Khohar Muhammad Fatahurrohman (254107020021)
Jiada Mizan Firdaus (254107020190)
Dionisius Dimas Nanda Karyanto (254107020094)
M. Tahtian Fahreza (254107020053)</t>
        </is>
      </c>
      <c r="E9" s="4" t="inlineStr">
        <is>
          <t>FASTENDER</t>
        </is>
      </c>
      <c r="F9" s="16" t="n"/>
      <c r="G9" s="16" t="n"/>
      <c r="H9" s="16" t="n"/>
      <c r="I9" s="16" t="n"/>
      <c r="J9" s="16" t="n"/>
      <c r="K9" s="16" t="n"/>
      <c r="L9" s="11">
        <f>IF(COUNT(F9:K9)&lt;6,"",SUMPRODUCT(F9:K9,$F$6:$K$6)/SUM($F$6:$K$6)/5*100)</f>
        <v/>
      </c>
      <c r="M9" s="15" t="n"/>
      <c r="N9" s="17" t="inlineStr">
        <is>
          <t>Buka tautan Drive</t>
        </is>
      </c>
    </row>
    <row r="10">
      <c r="A10" s="9" t="n">
        <v>4</v>
      </c>
      <c r="B10" s="14" t="inlineStr">
        <is>
          <t>Tim Berbagi Adil</t>
        </is>
      </c>
      <c r="C10" s="14" t="inlineStr">
        <is>
          <t>RAYHAN JOFAN HALIM</t>
        </is>
      </c>
      <c r="D10" s="15" t="inlineStr">
        <is>
          <t>Rayhan Jofan Halim (254107020230)
M. Ihsan Nabil (254107020196)
Elsa Marthalinda (254107020204)
M.Fakhrur Rozi Nur (254107020207)</t>
        </is>
      </c>
      <c r="E10" s="4" t="inlineStr">
        <is>
          <t>FAIRSHARE: SISTEM PEMANTAUAN KONTRIBUSI DAN AUDIT TRANSPARANSI KERJA KOLABORATIF BERBASIS TELEMETRI DOKUMEN DAN REPOSITORI KODE</t>
        </is>
      </c>
      <c r="F10" s="16" t="n"/>
      <c r="G10" s="16" t="n"/>
      <c r="H10" s="16" t="n"/>
      <c r="I10" s="16" t="n"/>
      <c r="J10" s="16" t="n"/>
      <c r="K10" s="16" t="n"/>
      <c r="L10" s="11">
        <f>IF(COUNT(F10:K10)&lt;6,"",SUMPRODUCT(F10:K10,$F$6:$K$6)/SUM($F$6:$K$6)/5*100)</f>
        <v/>
      </c>
      <c r="M10" s="15" t="n"/>
      <c r="N10" s="17" t="inlineStr">
        <is>
          <t>Buka tautan Drive</t>
        </is>
      </c>
    </row>
    <row r="11">
      <c r="A11" s="9" t="n">
        <v>5</v>
      </c>
      <c r="B11" s="14" t="inlineStr">
        <is>
          <t>404: Sleep Not Found</t>
        </is>
      </c>
      <c r="C11" s="14" t="inlineStr">
        <is>
          <t>Ahmad Rafid Riqkullah</t>
        </is>
      </c>
      <c r="D11" s="15" t="inlineStr">
        <is>
          <t>Ahmad Rafid Riqkullah (254107020078)
I Gusti Agung Timothy P.A.P (254107020157)
Inas Asami El Murtadho (254107020165)
Muhammad Toriq Januarsyah (254107020075)</t>
        </is>
      </c>
      <c r="E11" s="4" t="inlineStr">
        <is>
          <t>SI-DRIPP (Sistem Informasi Pendataan Stok dan Transaksi MKP Store)</t>
        </is>
      </c>
      <c r="F11" s="16" t="n"/>
      <c r="G11" s="16" t="n"/>
      <c r="H11" s="16" t="n"/>
      <c r="I11" s="16" t="n"/>
      <c r="J11" s="16" t="n"/>
      <c r="K11" s="16" t="n"/>
      <c r="L11" s="11">
        <f>IF(COUNT(F11:K11)&lt;6,"",SUMPRODUCT(F11:K11,$F$6:$K$6)/SUM($F$6:$K$6)/5*100)</f>
        <v/>
      </c>
      <c r="M11" s="15" t="n"/>
      <c r="N11" s="17" t="inlineStr">
        <is>
          <t>Buka tautan Drive</t>
        </is>
      </c>
    </row>
    <row r="12">
      <c r="A12" s="9" t="n">
        <v>6</v>
      </c>
      <c r="B12" s="14" t="inlineStr">
        <is>
          <t>2B-Kelompok 5</t>
        </is>
      </c>
      <c r="C12" s="14" t="inlineStr">
        <is>
          <t>Christian Nugraha Widyawan</t>
        </is>
      </c>
      <c r="D12" s="15" t="inlineStr">
        <is>
          <t>Christian Nugraha Widyawan (254107020089)
Senja Bayu Windiya (254107020061)
Adis Nayottama Indra Zaki (254107020044)
Rajwa Ega Ganeswara (254107020205)</t>
        </is>
      </c>
      <c r="E12" s="4" t="inlineStr">
        <is>
          <t>SISTEM INFORMASI MANAJEMEN RENTAL KAMERA DAN PERALATAN FOTOGRAFI CARMENT (CAMERA RENT AND EQUIPMENT)</t>
        </is>
      </c>
      <c r="F12" s="16" t="n"/>
      <c r="G12" s="16" t="n"/>
      <c r="H12" s="16" t="n"/>
      <c r="I12" s="16" t="n"/>
      <c r="J12" s="16" t="n"/>
      <c r="K12" s="16" t="n"/>
      <c r="L12" s="11">
        <f>IF(COUNT(F12:K12)&lt;6,"",SUMPRODUCT(F12:K12,$F$6:$K$6)/SUM($F$6:$K$6)/5*100)</f>
        <v/>
      </c>
      <c r="M12" s="15" t="n"/>
      <c r="N12" s="17" t="inlineStr">
        <is>
          <t>Buka tautan Drive</t>
        </is>
      </c>
    </row>
    <row r="13">
      <c r="A13" s="9" t="n">
        <v>7</v>
      </c>
      <c r="B13" s="14" t="inlineStr">
        <is>
          <t>2B Kelompok 7</t>
        </is>
      </c>
      <c r="C13" s="14" t="inlineStr">
        <is>
          <t>Zhafran Adya Sullu Abimata</t>
        </is>
      </c>
      <c r="D13" s="15" t="inlineStr">
        <is>
          <t>Ahmad Risal Ali Pasha (254107020146)
Rofiq Aristiyawan (254107020060)
Syaikhan Agil El Dzaky (254107020131)
Zhafran Adya Sullu Abimata (254107020111)</t>
        </is>
      </c>
      <c r="E13" s="4" t="inlineStr">
        <is>
          <t>SIMART: Sistem Informasi Manajemen Rumah Budaya Ratna</t>
        </is>
      </c>
      <c r="F13" s="16" t="n"/>
      <c r="G13" s="16" t="n"/>
      <c r="H13" s="16" t="n"/>
      <c r="I13" s="16" t="n"/>
      <c r="J13" s="16" t="n"/>
      <c r="K13" s="16" t="n"/>
      <c r="L13" s="11">
        <f>IF(COUNT(F13:K13)&lt;6,"",SUMPRODUCT(F13:K13,$F$6:$K$6)/SUM($F$6:$K$6)/5*100)</f>
        <v/>
      </c>
      <c r="M13" s="15" t="n"/>
      <c r="N13" s="17" t="inlineStr">
        <is>
          <t>Buka tautan Drive</t>
        </is>
      </c>
    </row>
  </sheetData>
  <mergeCells count="3">
    <mergeCell ref="A4:N4"/>
    <mergeCell ref="A2:N2"/>
    <mergeCell ref="A1:N1"/>
  </mergeCells>
  <dataValidations count="1">
    <dataValidation sqref="F7 F8 F9 F10 F11 F12 F13 G7 G8 G9 G10 G11 G12 G13 H7 H8 H9 H10 H11 H12 H13 I7 I8 I9 I10 I11 I12 I13 J7 J8 J9 J10 J11 J12 J13 K7 K8 K9 K10 K11 K12 K13"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TI_2B - Dosen Pengampu: Retno Damayanti, S.Pd.,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2G2B</t>
        </is>
      </c>
      <c r="C7" s="14" t="inlineStr">
        <is>
          <t>Mukhammad Raffi Zabra</t>
        </is>
      </c>
      <c r="D7" s="15" t="inlineStr">
        <is>
          <t>Dandin Sesilia (254107020142)
Muhammad Ridwan A (254107020187)
Mukhammad Raffi Zabra (254107020059)
Naura Fadhilla Aditya P (254107020007)</t>
        </is>
      </c>
      <c r="E7" s="4" t="inlineStr">
        <is>
          <t>SITEMAN -KOS (Sistem Manajemen Operasional Kos)</t>
        </is>
      </c>
      <c r="F7" s="16" t="n"/>
      <c r="G7" s="16" t="n"/>
      <c r="H7" s="16" t="n"/>
      <c r="I7" s="16" t="n"/>
      <c r="J7" s="16" t="n"/>
      <c r="K7" s="16" t="n"/>
      <c r="L7" s="11">
        <f>IF(COUNT(F7:K7)&lt;6,"",SUMPRODUCT(F7:K7,$F$6:$K$6)/SUM($F$6:$K$6)/5*100)</f>
        <v/>
      </c>
      <c r="M7" s="15" t="n"/>
      <c r="N7" s="17" t="inlineStr">
        <is>
          <t>Buka tautan Drive</t>
        </is>
      </c>
    </row>
    <row r="8">
      <c r="A8" s="9" t="n">
        <v>2</v>
      </c>
      <c r="B8" s="14" t="inlineStr">
        <is>
          <t>kePASTIan</t>
        </is>
      </c>
      <c r="C8" s="14" t="inlineStr">
        <is>
          <t>Rayana Jaka Surya</t>
        </is>
      </c>
      <c r="D8" s="15" t="inlineStr">
        <is>
          <t>Ketua: Rayana Jaka Surya</t>
        </is>
      </c>
      <c r="E8" s="4" t="inlineStr">
        <is>
          <t>PASTI: Pusat Manajemen Servis dan Teknologi Informasi</t>
        </is>
      </c>
      <c r="F8" s="16" t="n"/>
      <c r="G8" s="16" t="n"/>
      <c r="H8" s="16" t="n"/>
      <c r="I8" s="16" t="n"/>
      <c r="J8" s="16" t="n"/>
      <c r="K8" s="16" t="n"/>
      <c r="L8" s="11">
        <f>IF(COUNT(F8:K8)&lt;6,"",SUMPRODUCT(F8:K8,$F$6:$K$6)/SUM($F$6:$K$6)/5*100)</f>
        <v/>
      </c>
      <c r="M8" s="15" t="n"/>
      <c r="N8" s="17" t="inlineStr">
        <is>
          <t>Buka tautan Drive</t>
        </is>
      </c>
    </row>
    <row r="9">
      <c r="A9" s="9" t="n">
        <v>3</v>
      </c>
      <c r="B9" s="14" t="inlineStr">
        <is>
          <t>KREANOVA</t>
        </is>
      </c>
      <c r="C9" s="14" t="inlineStr">
        <is>
          <t>Khohar Muhammad Fatahurrohman</t>
        </is>
      </c>
      <c r="D9" s="15" t="inlineStr">
        <is>
          <t>Khohar Muhammad Fatahurrohman (254107020021)
Jiada Mizan Firdaus (254107020190)
Dionisius Dimas Nanda Karyanto (254107020094)
M. Tahtian Fahreza (254107020053)</t>
        </is>
      </c>
      <c r="E9" s="4" t="inlineStr">
        <is>
          <t>FASTENDER</t>
        </is>
      </c>
      <c r="F9" s="16" t="n"/>
      <c r="G9" s="16" t="n"/>
      <c r="H9" s="16" t="n"/>
      <c r="I9" s="16" t="n"/>
      <c r="J9" s="16" t="n"/>
      <c r="K9" s="16" t="n"/>
      <c r="L9" s="11">
        <f>IF(COUNT(F9:K9)&lt;6,"",SUMPRODUCT(F9:K9,$F$6:$K$6)/SUM($F$6:$K$6)/5*100)</f>
        <v/>
      </c>
      <c r="M9" s="15" t="n"/>
      <c r="N9" s="17" t="inlineStr">
        <is>
          <t>Buka tautan Drive</t>
        </is>
      </c>
    </row>
    <row r="10">
      <c r="A10" s="9" t="n">
        <v>4</v>
      </c>
      <c r="B10" s="14" t="inlineStr">
        <is>
          <t>Tim Berbagi Adil</t>
        </is>
      </c>
      <c r="C10" s="14" t="inlineStr">
        <is>
          <t>RAYHAN JOFAN HALIM</t>
        </is>
      </c>
      <c r="D10" s="15" t="inlineStr">
        <is>
          <t>Rayhan Jofan Halim (254107020230)
M. Ihsan Nabil (254107020196)
Elsa Marthalinda (254107020204)
M.Fakhrur Rozi Nur (254107020207)</t>
        </is>
      </c>
      <c r="E10" s="4" t="inlineStr">
        <is>
          <t>FAIRSHARE: SISTEM PEMANTAUAN KONTRIBUSI DAN AUDIT TRANSPARANSI KERJA KOLABORATIF BERBASIS TELEMETRI DOKUMEN DAN REPOSITORI KODE</t>
        </is>
      </c>
      <c r="F10" s="16" t="n"/>
      <c r="G10" s="16" t="n"/>
      <c r="H10" s="16" t="n"/>
      <c r="I10" s="16" t="n"/>
      <c r="J10" s="16" t="n"/>
      <c r="K10" s="16" t="n"/>
      <c r="L10" s="11">
        <f>IF(COUNT(F10:K10)&lt;6,"",SUMPRODUCT(F10:K10,$F$6:$K$6)/SUM($F$6:$K$6)/5*100)</f>
        <v/>
      </c>
      <c r="M10" s="15" t="n"/>
      <c r="N10" s="17" t="inlineStr">
        <is>
          <t>Buka tautan Drive</t>
        </is>
      </c>
    </row>
    <row r="11">
      <c r="A11" s="9" t="n">
        <v>5</v>
      </c>
      <c r="B11" s="14" t="inlineStr">
        <is>
          <t>404: Sleep Not Found</t>
        </is>
      </c>
      <c r="C11" s="14" t="inlineStr">
        <is>
          <t>Ahmad Rafid Riqkullah</t>
        </is>
      </c>
      <c r="D11" s="15" t="inlineStr">
        <is>
          <t>Ahmad Rafid Riqkullah (254107020078)
I Gusti Agung Timothy P.A.P (254107020157)
Inas Asami El Murtadho (254107020165)
Muhammad Toriq Januarsyah (254107020075)</t>
        </is>
      </c>
      <c r="E11" s="4" t="inlineStr">
        <is>
          <t>SI-DRIPP (Sistem Informasi Pendataan Stok dan Transaksi MKP Store)</t>
        </is>
      </c>
      <c r="F11" s="16" t="n"/>
      <c r="G11" s="16" t="n"/>
      <c r="H11" s="16" t="n"/>
      <c r="I11" s="16" t="n"/>
      <c r="J11" s="16" t="n"/>
      <c r="K11" s="16" t="n"/>
      <c r="L11" s="11">
        <f>IF(COUNT(F11:K11)&lt;6,"",SUMPRODUCT(F11:K11,$F$6:$K$6)/SUM($F$6:$K$6)/5*100)</f>
        <v/>
      </c>
      <c r="M11" s="15" t="n"/>
      <c r="N11" s="17" t="inlineStr">
        <is>
          <t>Buka tautan Drive</t>
        </is>
      </c>
    </row>
    <row r="12">
      <c r="A12" s="9" t="n">
        <v>6</v>
      </c>
      <c r="B12" s="14" t="inlineStr">
        <is>
          <t>2B-Kelompok 5</t>
        </is>
      </c>
      <c r="C12" s="14" t="inlineStr">
        <is>
          <t>Christian Nugraha Widyawan</t>
        </is>
      </c>
      <c r="D12" s="15" t="inlineStr">
        <is>
          <t>Christian Nugraha Widyawan (254107020089)
Senja Bayu Windiya (254107020061)
Adis Nayottama Indra Zaki (254107020044)
Rajwa Ega Ganeswara (254107020205)</t>
        </is>
      </c>
      <c r="E12" s="4" t="inlineStr">
        <is>
          <t>SISTEM INFORMASI MANAJEMEN RENTAL KAMERA DAN PERALATAN FOTOGRAFI CARMENT (CAMERA RENT AND EQUIPMENT)</t>
        </is>
      </c>
      <c r="F12" s="16" t="n"/>
      <c r="G12" s="16" t="n"/>
      <c r="H12" s="16" t="n"/>
      <c r="I12" s="16" t="n"/>
      <c r="J12" s="16" t="n"/>
      <c r="K12" s="16" t="n"/>
      <c r="L12" s="11">
        <f>IF(COUNT(F12:K12)&lt;6,"",SUMPRODUCT(F12:K12,$F$6:$K$6)/SUM($F$6:$K$6)/5*100)</f>
        <v/>
      </c>
      <c r="M12" s="15" t="n"/>
      <c r="N12" s="17" t="inlineStr">
        <is>
          <t>Buka tautan Drive</t>
        </is>
      </c>
    </row>
    <row r="13">
      <c r="A13" s="9" t="n">
        <v>7</v>
      </c>
      <c r="B13" s="14" t="inlineStr">
        <is>
          <t>2B Kelompok 7</t>
        </is>
      </c>
      <c r="C13" s="14" t="inlineStr">
        <is>
          <t>Zhafran Adya Sullu Abimata</t>
        </is>
      </c>
      <c r="D13" s="15" t="inlineStr">
        <is>
          <t>Ahmad Risal Ali Pasha (254107020146)
Rofiq Aristiyawan (254107020060)
Syaikhan Agil El Dzaky (254107020131)
Zhafran Adya Sullu Abimata (254107020111)</t>
        </is>
      </c>
      <c r="E13" s="4" t="inlineStr">
        <is>
          <t>SIMART: Sistem Informasi Manajemen Rumah Budaya Ratna</t>
        </is>
      </c>
      <c r="F13" s="16" t="n"/>
      <c r="G13" s="16" t="n"/>
      <c r="H13" s="16" t="n"/>
      <c r="I13" s="16" t="n"/>
      <c r="J13" s="16" t="n"/>
      <c r="K13" s="16" t="n"/>
      <c r="L13" s="11">
        <f>IF(COUNT(F13:K13)&lt;6,"",SUMPRODUCT(F13:K13,$F$6:$K$6)/SUM($F$6:$K$6)/5*100)</f>
        <v/>
      </c>
      <c r="M13" s="15" t="n"/>
      <c r="N13" s="17" t="inlineStr">
        <is>
          <t>Buka tautan Drive</t>
        </is>
      </c>
    </row>
  </sheetData>
  <mergeCells count="3">
    <mergeCell ref="A4:N4"/>
    <mergeCell ref="A2:N2"/>
    <mergeCell ref="A1:N1"/>
  </mergeCells>
  <dataValidations count="1">
    <dataValidation sqref="F7 F8 F9 F10 F11 F12 F13 G7 G8 G9 G10 G11 G12 G13 H7 H8 H9 H10 H11 H12 H13 I7 I8 I9 I10 I11 I12 I13 J7 J8 J9 J10 J11 J12 J13 K7 K8 K9 K10 K11 K12 K13"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 xmlns:r="http://schemas.openxmlformats.org/officeDocument/2006/relationships" ref="N13"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TI_2B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2G2B</t>
        </is>
      </c>
      <c r="C5" s="14" t="inlineStr">
        <is>
          <t>Mukhammad Raffi Zabra</t>
        </is>
      </c>
      <c r="D5" s="4">
        <f>'Manajemen Proyek'!D7</f>
        <v/>
      </c>
      <c r="E5" s="4" t="inlineStr">
        <is>
          <t>SITEMAN -KOS (Sistem Manajemen Operasional Kos)</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kePASTIan</t>
        </is>
      </c>
      <c r="C6" s="14" t="inlineStr">
        <is>
          <t>Rayana Jaka Surya</t>
        </is>
      </c>
      <c r="D6" s="4">
        <f>'Manajemen Proyek'!D8</f>
        <v/>
      </c>
      <c r="E6" s="4" t="inlineStr">
        <is>
          <t>PASTI: Pusat Manajemen Servis dan Teknologi Informasi</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KREANOVA</t>
        </is>
      </c>
      <c r="C7" s="14" t="inlineStr">
        <is>
          <t>Khohar Muhammad Fatahurrohman</t>
        </is>
      </c>
      <c r="D7" s="4">
        <f>'Manajemen Proyek'!D9</f>
        <v/>
      </c>
      <c r="E7" s="4" t="inlineStr">
        <is>
          <t>FASTENDER</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Tim Berbagi Adil</t>
        </is>
      </c>
      <c r="C8" s="14" t="inlineStr">
        <is>
          <t>RAYHAN JOFAN HALIM</t>
        </is>
      </c>
      <c r="D8" s="4">
        <f>'Manajemen Proyek'!D10</f>
        <v/>
      </c>
      <c r="E8" s="4" t="inlineStr">
        <is>
          <t>FAIRSHARE: SISTEM PEMANTAUAN KONTRIBUSI DAN AUDIT TRANSPARANSI KERJA KOLABORATIF BERBASIS TELEMETRI DOKUMEN DAN REPOSITORI KODE</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404: Sleep Not Found</t>
        </is>
      </c>
      <c r="C9" s="14" t="inlineStr">
        <is>
          <t>Ahmad Rafid Riqkullah</t>
        </is>
      </c>
      <c r="D9" s="4">
        <f>'Manajemen Proyek'!D11</f>
        <v/>
      </c>
      <c r="E9" s="4" t="inlineStr">
        <is>
          <t>SI-DRIPP (Sistem Informasi Pendataan Stok dan Transaksi MKP Store)</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row r="10">
      <c r="A10" s="9" t="n">
        <v>6</v>
      </c>
      <c r="B10" s="14" t="inlineStr">
        <is>
          <t>2B-Kelompok 5</t>
        </is>
      </c>
      <c r="C10" s="14" t="inlineStr">
        <is>
          <t>Christian Nugraha Widyawan</t>
        </is>
      </c>
      <c r="D10" s="4">
        <f>'Manajemen Proyek'!D12</f>
        <v/>
      </c>
      <c r="E10" s="4" t="inlineStr">
        <is>
          <t>SISTEM INFORMASI MANAJEMEN RENTAL KAMERA DAN PERALATAN FOTOGRAFI CARMENT (CAMERA RENT AND EQUIPMENT)</t>
        </is>
      </c>
      <c r="F10" s="11">
        <f>'Manajemen Proyek'!L12</f>
        <v/>
      </c>
      <c r="G10" s="4">
        <f>'Manajemen Proyek'!M12</f>
        <v/>
      </c>
      <c r="H10" s="11">
        <f>'Desain &amp; Pemrograman Web'!L12</f>
        <v/>
      </c>
      <c r="I10" s="4">
        <f>'Desain &amp; Pemrograman Web'!M12</f>
        <v/>
      </c>
      <c r="J10" s="11">
        <f>'Basis Data Lanjut'!L12</f>
        <v/>
      </c>
      <c r="K10" s="4">
        <f>'Basis Data Lanjut'!M12</f>
        <v/>
      </c>
      <c r="L10" s="11">
        <f>'Sistem Informasi Manajemen'!L12</f>
        <v/>
      </c>
      <c r="M10" s="4">
        <f>'Sistem Informasi Manajemen'!M12</f>
        <v/>
      </c>
      <c r="N10" s="11">
        <f>IFERROR(AVERAGE(F10,H10,J10,L10),"")</f>
        <v/>
      </c>
      <c r="O10" s="17" t="inlineStr">
        <is>
          <t>Buka tautan Drive</t>
        </is>
      </c>
    </row>
    <row r="11">
      <c r="A11" s="9" t="n">
        <v>7</v>
      </c>
      <c r="B11" s="14" t="inlineStr">
        <is>
          <t>2B Kelompok 7</t>
        </is>
      </c>
      <c r="C11" s="14" t="inlineStr">
        <is>
          <t>Zhafran Adya Sullu Abimata</t>
        </is>
      </c>
      <c r="D11" s="4">
        <f>'Manajemen Proyek'!D13</f>
        <v/>
      </c>
      <c r="E11" s="4" t="inlineStr">
        <is>
          <t>SIMART: Sistem Informasi Manajemen Rumah Budaya Ratna</t>
        </is>
      </c>
      <c r="F11" s="11">
        <f>'Manajemen Proyek'!L13</f>
        <v/>
      </c>
      <c r="G11" s="4">
        <f>'Manajemen Proyek'!M13</f>
        <v/>
      </c>
      <c r="H11" s="11">
        <f>'Desain &amp; Pemrograman Web'!L13</f>
        <v/>
      </c>
      <c r="I11" s="4">
        <f>'Desain &amp; Pemrograman Web'!M13</f>
        <v/>
      </c>
      <c r="J11" s="11">
        <f>'Basis Data Lanjut'!L13</f>
        <v/>
      </c>
      <c r="K11" s="4">
        <f>'Basis Data Lanjut'!M13</f>
        <v/>
      </c>
      <c r="L11" s="11">
        <f>'Sistem Informasi Manajemen'!L13</f>
        <v/>
      </c>
      <c r="M11" s="4">
        <f>'Sistem Informasi Manajemen'!M13</f>
        <v/>
      </c>
      <c r="N11" s="11">
        <f>IFERROR(AVERAGE(F11,H11,J11,L11),"")</f>
        <v/>
      </c>
      <c r="O11"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