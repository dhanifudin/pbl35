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8AWbFj-J8iACpYhCUUDn7aC4O9j4Juel" TargetMode="External" Id="rId1" /><Relationship Type="http://schemas.openxmlformats.org/officeDocument/2006/relationships/hyperlink" Target="https://drive.google.com/open?id=1TvxXcELZcCclCY2KJmw-tWYF9Ou83s7x" TargetMode="External" Id="rId2" /><Relationship Type="http://schemas.openxmlformats.org/officeDocument/2006/relationships/hyperlink" Target="https://drive.google.com/open?id=1iZEDZ3HLGw1yaDo_892vUJnZI2Kmivld" TargetMode="External" Id="rId3" /><Relationship Type="http://schemas.openxmlformats.org/officeDocument/2006/relationships/hyperlink" Target="https://drive.google.com/open?id=1hcg9Q-OBCafNiJTcqshhl9GlwOx_3BLm" TargetMode="External" Id="rId4" /><Relationship Type="http://schemas.openxmlformats.org/officeDocument/2006/relationships/hyperlink" Target="https://drive.google.com/open?id=1w11t1eO0uSOK_ebkur1n4lYp1bxJ1R-H" TargetMode="External" Id="rId5" /><Relationship Type="http://schemas.openxmlformats.org/officeDocument/2006/relationships/hyperlink" Target="https://drive.google.com/open?id=142_lVyDH0oHuZv5JY8IdbutwpuVJwcHq" TargetMode="External" Id="rId6" /></Relationships>
</file>

<file path=xl/worksheets/_rels/sheet4.xml.rels><Relationships xmlns="http://schemas.openxmlformats.org/package/2006/relationships"><Relationship Type="http://schemas.openxmlformats.org/officeDocument/2006/relationships/hyperlink" Target="https://drive.google.com/open?id=18AWbFj-J8iACpYhCUUDn7aC4O9j4Juel" TargetMode="External" Id="rId1" /><Relationship Type="http://schemas.openxmlformats.org/officeDocument/2006/relationships/hyperlink" Target="https://drive.google.com/open?id=1TvxXcELZcCclCY2KJmw-tWYF9Ou83s7x" TargetMode="External" Id="rId2" /><Relationship Type="http://schemas.openxmlformats.org/officeDocument/2006/relationships/hyperlink" Target="https://drive.google.com/open?id=1iZEDZ3HLGw1yaDo_892vUJnZI2Kmivld" TargetMode="External" Id="rId3" /><Relationship Type="http://schemas.openxmlformats.org/officeDocument/2006/relationships/hyperlink" Target="https://drive.google.com/open?id=1hcg9Q-OBCafNiJTcqshhl9GlwOx_3BLm" TargetMode="External" Id="rId4" /><Relationship Type="http://schemas.openxmlformats.org/officeDocument/2006/relationships/hyperlink" Target="https://drive.google.com/open?id=1w11t1eO0uSOK_ebkur1n4lYp1bxJ1R-H" TargetMode="External" Id="rId5" /><Relationship Type="http://schemas.openxmlformats.org/officeDocument/2006/relationships/hyperlink" Target="https://drive.google.com/open?id=142_lVyDH0oHuZv5JY8IdbutwpuVJwcHq" TargetMode="External" Id="rId6" /></Relationships>
</file>

<file path=xl/worksheets/_rels/sheet5.xml.rels><Relationships xmlns="http://schemas.openxmlformats.org/package/2006/relationships"><Relationship Type="http://schemas.openxmlformats.org/officeDocument/2006/relationships/hyperlink" Target="https://drive.google.com/open?id=18AWbFj-J8iACpYhCUUDn7aC4O9j4Juel" TargetMode="External" Id="rId1" /><Relationship Type="http://schemas.openxmlformats.org/officeDocument/2006/relationships/hyperlink" Target="https://drive.google.com/open?id=1TvxXcELZcCclCY2KJmw-tWYF9Ou83s7x" TargetMode="External" Id="rId2" /><Relationship Type="http://schemas.openxmlformats.org/officeDocument/2006/relationships/hyperlink" Target="https://drive.google.com/open?id=1iZEDZ3HLGw1yaDo_892vUJnZI2Kmivld" TargetMode="External" Id="rId3" /><Relationship Type="http://schemas.openxmlformats.org/officeDocument/2006/relationships/hyperlink" Target="https://drive.google.com/open?id=1hcg9Q-OBCafNiJTcqshhl9GlwOx_3BLm" TargetMode="External" Id="rId4" /><Relationship Type="http://schemas.openxmlformats.org/officeDocument/2006/relationships/hyperlink" Target="https://drive.google.com/open?id=1w11t1eO0uSOK_ebkur1n4lYp1bxJ1R-H" TargetMode="External" Id="rId5" /><Relationship Type="http://schemas.openxmlformats.org/officeDocument/2006/relationships/hyperlink" Target="https://drive.google.com/open?id=142_lVyDH0oHuZv5JY8IdbutwpuVJwcHq" TargetMode="External" Id="rId6" /></Relationships>
</file>

<file path=xl/worksheets/_rels/sheet6.xml.rels><Relationships xmlns="http://schemas.openxmlformats.org/package/2006/relationships"><Relationship Type="http://schemas.openxmlformats.org/officeDocument/2006/relationships/hyperlink" Target="https://drive.google.com/open?id=18AWbFj-J8iACpYhCUUDn7aC4O9j4Juel" TargetMode="External" Id="rId1" /><Relationship Type="http://schemas.openxmlformats.org/officeDocument/2006/relationships/hyperlink" Target="https://drive.google.com/open?id=1TvxXcELZcCclCY2KJmw-tWYF9Ou83s7x" TargetMode="External" Id="rId2" /><Relationship Type="http://schemas.openxmlformats.org/officeDocument/2006/relationships/hyperlink" Target="https://drive.google.com/open?id=1iZEDZ3HLGw1yaDo_892vUJnZI2Kmivld" TargetMode="External" Id="rId3" /><Relationship Type="http://schemas.openxmlformats.org/officeDocument/2006/relationships/hyperlink" Target="https://drive.google.com/open?id=1hcg9Q-OBCafNiJTcqshhl9GlwOx_3BLm" TargetMode="External" Id="rId4" /><Relationship Type="http://schemas.openxmlformats.org/officeDocument/2006/relationships/hyperlink" Target="https://drive.google.com/open?id=1w11t1eO0uSOK_ebkur1n4lYp1bxJ1R-H" TargetMode="External" Id="rId5" /><Relationship Type="http://schemas.openxmlformats.org/officeDocument/2006/relationships/hyperlink" Target="https://drive.google.com/open?id=142_lVyDH0oHuZv5JY8IdbutwpuVJwcHq" TargetMode="External" Id="rId6" /></Relationships>
</file>

<file path=xl/worksheets/_rels/sheet7.xml.rels><Relationships xmlns="http://schemas.openxmlformats.org/package/2006/relationships"><Relationship Type="http://schemas.openxmlformats.org/officeDocument/2006/relationships/hyperlink" Target="https://drive.google.com/open?id=18AWbFj-J8iACpYhCUUDn7aC4O9j4Juel" TargetMode="External" Id="rId1" /><Relationship Type="http://schemas.openxmlformats.org/officeDocument/2006/relationships/hyperlink" Target="https://drive.google.com/open?id=1TvxXcELZcCclCY2KJmw-tWYF9Ou83s7x" TargetMode="External" Id="rId2" /><Relationship Type="http://schemas.openxmlformats.org/officeDocument/2006/relationships/hyperlink" Target="https://drive.google.com/open?id=1iZEDZ3HLGw1yaDo_892vUJnZI2Kmivld" TargetMode="External" Id="rId3" /><Relationship Type="http://schemas.openxmlformats.org/officeDocument/2006/relationships/hyperlink" Target="https://drive.google.com/open?id=1hcg9Q-OBCafNiJTcqshhl9GlwOx_3BLm" TargetMode="External" Id="rId4" /><Relationship Type="http://schemas.openxmlformats.org/officeDocument/2006/relationships/hyperlink" Target="https://drive.google.com/open?id=1w11t1eO0uSOK_ebkur1n4lYp1bxJ1R-H" TargetMode="External" Id="rId5" /><Relationship Type="http://schemas.openxmlformats.org/officeDocument/2006/relationships/hyperlink" Target="https://drive.google.com/open?id=142_lVyDH0oHuZv5JY8IdbutwpuVJwcHq" TargetMode="External" Id="rId6"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TI_2D</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TI_2D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TI_2D - Dosen Pengampu: Ahmadi Yuli Ananta, ST., M.M.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6</t>
        </is>
      </c>
      <c r="C7" s="14" t="inlineStr">
        <is>
          <t>Ferdyansyah Prakoso</t>
        </is>
      </c>
      <c r="D7" s="15" t="inlineStr">
        <is>
          <t>Ketua: Ferdyansyah Prakoso</t>
        </is>
      </c>
      <c r="E7" s="4" t="inlineStr">
        <is>
          <t>Digitalisasi Layanan Pemesanan Lokal Berbasis Web Terintegrasi QRIS Statis untuk Mengatasi Antrean Pelanggan pada UMKM “Brawijaya Street Food”</t>
        </is>
      </c>
      <c r="F7" s="16" t="n"/>
      <c r="G7" s="16" t="n"/>
      <c r="H7" s="16" t="n"/>
      <c r="I7" s="16" t="n"/>
      <c r="J7" s="16" t="n"/>
      <c r="K7" s="16" t="n"/>
      <c r="L7" s="11">
        <f>IF(COUNT(F7:K7)&lt;6,"",SUMPRODUCT(F7:K7,$F$6:$K$6)/SUM($F$6:$K$6)/5*100)</f>
        <v/>
      </c>
      <c r="M7" s="15" t="n"/>
      <c r="N7" s="17" t="inlineStr">
        <is>
          <t>Buka tautan Drive</t>
        </is>
      </c>
    </row>
    <row r="8">
      <c r="A8" s="9" t="n">
        <v>2</v>
      </c>
      <c r="B8" s="14" t="inlineStr">
        <is>
          <t>Langit biru jadi jingga</t>
        </is>
      </c>
      <c r="C8" s="14" t="inlineStr">
        <is>
          <t>Radian Rafie Andhitama</t>
        </is>
      </c>
      <c r="D8" s="15" t="inlineStr">
        <is>
          <t>Yahya Agusta Rokhmansyah (254107020003)
Firstyara Putri Hilmanes (254107020164)
Radian Rafie Andhitama (254107020109)
Muhammad Rifqi Abdurrahman (254107020132)
Ahmad Raffie Athaya H (254107020063)</t>
        </is>
      </c>
      <c r="E8" s="4" t="inlineStr">
        <is>
          <t>PinjemDulu</t>
        </is>
      </c>
      <c r="F8" s="16" t="n"/>
      <c r="G8" s="16" t="n"/>
      <c r="H8" s="16" t="n"/>
      <c r="I8" s="16" t="n"/>
      <c r="J8" s="16" t="n"/>
      <c r="K8" s="16" t="n"/>
      <c r="L8" s="11">
        <f>IF(COUNT(F8:K8)&lt;6,"",SUMPRODUCT(F8:K8,$F$6:$K$6)/SUM($F$6:$K$6)/5*100)</f>
        <v/>
      </c>
      <c r="M8" s="15" t="n"/>
      <c r="N8" s="17" t="inlineStr">
        <is>
          <t>Buka tautan Drive</t>
        </is>
      </c>
    </row>
    <row r="9">
      <c r="A9" s="9" t="n">
        <v>3</v>
      </c>
      <c r="B9" s="14" t="inlineStr">
        <is>
          <t>PICO Team</t>
        </is>
      </c>
      <c r="C9" s="14" t="inlineStr">
        <is>
          <t>Al Fath Raya Maulana - 254107020018</t>
        </is>
      </c>
      <c r="D9" s="15" t="inlineStr">
        <is>
          <t>Ketua: Al Fath Raya Maulana - 254107020018</t>
        </is>
      </c>
      <c r="E9" s="4" t="inlineStr">
        <is>
          <t>PICO (Polinema Integrated Canteen Order): Aplikasi Berbasis Web untuk Sistem Pemesanan Online di Kantin AX Politeknik Negeri Malang</t>
        </is>
      </c>
      <c r="F9" s="16" t="n"/>
      <c r="G9" s="16" t="n"/>
      <c r="H9" s="16" t="n"/>
      <c r="I9" s="16" t="n"/>
      <c r="J9" s="16" t="n"/>
      <c r="K9" s="16" t="n"/>
      <c r="L9" s="11">
        <f>IF(COUNT(F9:K9)&lt;6,"",SUMPRODUCT(F9:K9,$F$6:$K$6)/SUM($F$6:$K$6)/5*100)</f>
        <v/>
      </c>
      <c r="M9" s="15" t="n"/>
      <c r="N9" s="17" t="inlineStr">
        <is>
          <t>Buka tautan Drive</t>
        </is>
      </c>
    </row>
    <row r="10">
      <c r="A10" s="9" t="n">
        <v>4</v>
      </c>
      <c r="B10" s="14" t="inlineStr">
        <is>
          <t>cilok poltek gak pakai kecap putihan aja</t>
        </is>
      </c>
      <c r="C10" s="14" t="inlineStr">
        <is>
          <t>Mohammad Daanii Althaaf Reivan Fadhlillah</t>
        </is>
      </c>
      <c r="D10" s="15" t="inlineStr">
        <is>
          <t>MOHAMMAD DAANII ALTHAAF REIVAN FADHLILLAH (254107020123)
RAJENDRA PUTRA MAHESWARA (254107020090)
FAWAS SAQIF ABDULLOHIL WALI (254107020037)
NAJWA ADHA KHAIRUNISSA GIARNO (254107020191)
DANIEL RAMADHANI ZULKARNAIN (254107020255)</t>
        </is>
      </c>
      <c r="E10" s="4" t="inlineStr">
        <is>
          <t>EasyPrint : Sistem Informasi Pemesanan dan Manajemen Pesanan Percetakan</t>
        </is>
      </c>
      <c r="F10" s="16" t="n"/>
      <c r="G10" s="16" t="n"/>
      <c r="H10" s="16" t="n"/>
      <c r="I10" s="16" t="n"/>
      <c r="J10" s="16" t="n"/>
      <c r="K10" s="16" t="n"/>
      <c r="L10" s="11">
        <f>IF(COUNT(F10:K10)&lt;6,"",SUMPRODUCT(F10:K10,$F$6:$K$6)/SUM($F$6:$K$6)/5*100)</f>
        <v/>
      </c>
      <c r="M10" s="15" t="n"/>
      <c r="N10" s="17" t="inlineStr">
        <is>
          <t>Buka tautan Drive</t>
        </is>
      </c>
    </row>
    <row r="11">
      <c r="A11" s="9" t="n">
        <v>5</v>
      </c>
      <c r="B11" s="14" t="inlineStr">
        <is>
          <t>kata jo yang ga ngerjain disuruh kayang didepan gedung sipil</t>
        </is>
      </c>
      <c r="C11" s="14" t="inlineStr">
        <is>
          <t>Putra Bakti Suljati Negara Syamsu</t>
        </is>
      </c>
      <c r="D11" s="15" t="inlineStr">
        <is>
          <t>Putra Bakti Suljati Negara Syamsu (254107020147)
Jonathan Abdiel Haryono (254107020036)
Fafirru Hadzami Syach Mashuri (254107020104)
Naufal Farhan Nur Ramadhan (254107020077)
Muhammad Abyan Andhi Putra (254107020149)</t>
        </is>
      </c>
      <c r="E11" s="4" t="inlineStr">
        <is>
          <t>SBO (Sistem Bengkel Online)</t>
        </is>
      </c>
      <c r="F11" s="16" t="n"/>
      <c r="G11" s="16" t="n"/>
      <c r="H11" s="16" t="n"/>
      <c r="I11" s="16" t="n"/>
      <c r="J11" s="16" t="n"/>
      <c r="K11" s="16" t="n"/>
      <c r="L11" s="11">
        <f>IF(COUNT(F11:K11)&lt;6,"",SUMPRODUCT(F11:K11,$F$6:$K$6)/SUM($F$6:$K$6)/5*100)</f>
        <v/>
      </c>
      <c r="M11" s="15" t="n"/>
      <c r="N11" s="17" t="inlineStr">
        <is>
          <t>Buka tautan Drive</t>
        </is>
      </c>
    </row>
    <row r="12">
      <c r="A12" s="9" t="n">
        <v>6</v>
      </c>
      <c r="B12" s="14" t="inlineStr">
        <is>
          <t>DoubleB</t>
        </is>
      </c>
      <c r="C12" s="14" t="inlineStr">
        <is>
          <t>Rifky Febrian Raditya Pratama</t>
        </is>
      </c>
      <c r="D12" s="15" t="inlineStr">
        <is>
          <t>Rifky Febrian Raditya Pratama (254107020222)
Muhammad Bagas Fathurrahman (254107020032)
Bagaskara Pradana Yulianto (254107020215)
Nerazuriancta Purmama Syah Putri (254107020117)</t>
        </is>
      </c>
      <c r="E12" s="4" t="inlineStr">
        <is>
          <t>SI-IN (Sistem Informasi Inkubasi) Berbasis Website untuk Mendukung Pengelolaan Program, Peserta, Mentor, dan Aktivitas Inkubasi</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TI_2D - Dosen Pengampu: Dimas Wahyu Wibowo, ST.,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6</t>
        </is>
      </c>
      <c r="C7" s="14" t="inlineStr">
        <is>
          <t>Ferdyansyah Prakoso</t>
        </is>
      </c>
      <c r="D7" s="15" t="inlineStr">
        <is>
          <t>Ketua: Ferdyansyah Prakoso</t>
        </is>
      </c>
      <c r="E7" s="4" t="inlineStr">
        <is>
          <t>Digitalisasi Layanan Pemesanan Lokal Berbasis Web Terintegrasi QRIS Statis untuk Mengatasi Antrean Pelanggan pada UMKM “Brawijaya Street Food”</t>
        </is>
      </c>
      <c r="F7" s="16" t="n"/>
      <c r="G7" s="16" t="n"/>
      <c r="H7" s="16" t="n"/>
      <c r="I7" s="16" t="n"/>
      <c r="J7" s="16" t="n"/>
      <c r="K7" s="16" t="n"/>
      <c r="L7" s="11">
        <f>IF(COUNT(F7:K7)&lt;6,"",SUMPRODUCT(F7:K7,$F$6:$K$6)/SUM($F$6:$K$6)/5*100)</f>
        <v/>
      </c>
      <c r="M7" s="15" t="n"/>
      <c r="N7" s="17" t="inlineStr">
        <is>
          <t>Buka tautan Drive</t>
        </is>
      </c>
    </row>
    <row r="8">
      <c r="A8" s="9" t="n">
        <v>2</v>
      </c>
      <c r="B8" s="14" t="inlineStr">
        <is>
          <t>Langit biru jadi jingga</t>
        </is>
      </c>
      <c r="C8" s="14" t="inlineStr">
        <is>
          <t>Radian Rafie Andhitama</t>
        </is>
      </c>
      <c r="D8" s="15" t="inlineStr">
        <is>
          <t>Yahya Agusta Rokhmansyah (254107020003)
Firstyara Putri Hilmanes (254107020164)
Radian Rafie Andhitama (254107020109)
Muhammad Rifqi Abdurrahman (254107020132)
Ahmad Raffie Athaya H (254107020063)</t>
        </is>
      </c>
      <c r="E8" s="4" t="inlineStr">
        <is>
          <t>PinjemDulu</t>
        </is>
      </c>
      <c r="F8" s="16" t="n"/>
      <c r="G8" s="16" t="n"/>
      <c r="H8" s="16" t="n"/>
      <c r="I8" s="16" t="n"/>
      <c r="J8" s="16" t="n"/>
      <c r="K8" s="16" t="n"/>
      <c r="L8" s="11">
        <f>IF(COUNT(F8:K8)&lt;6,"",SUMPRODUCT(F8:K8,$F$6:$K$6)/SUM($F$6:$K$6)/5*100)</f>
        <v/>
      </c>
      <c r="M8" s="15" t="n"/>
      <c r="N8" s="17" t="inlineStr">
        <is>
          <t>Buka tautan Drive</t>
        </is>
      </c>
    </row>
    <row r="9">
      <c r="A9" s="9" t="n">
        <v>3</v>
      </c>
      <c r="B9" s="14" t="inlineStr">
        <is>
          <t>PICO Team</t>
        </is>
      </c>
      <c r="C9" s="14" t="inlineStr">
        <is>
          <t>Al Fath Raya Maulana - 254107020018</t>
        </is>
      </c>
      <c r="D9" s="15" t="inlineStr">
        <is>
          <t>Ketua: Al Fath Raya Maulana - 254107020018</t>
        </is>
      </c>
      <c r="E9" s="4" t="inlineStr">
        <is>
          <t>PICO (Polinema Integrated Canteen Order): Aplikasi Berbasis Web untuk Sistem Pemesanan Online di Kantin AX Politeknik Negeri Malang</t>
        </is>
      </c>
      <c r="F9" s="16" t="n"/>
      <c r="G9" s="16" t="n"/>
      <c r="H9" s="16" t="n"/>
      <c r="I9" s="16" t="n"/>
      <c r="J9" s="16" t="n"/>
      <c r="K9" s="16" t="n"/>
      <c r="L9" s="11">
        <f>IF(COUNT(F9:K9)&lt;6,"",SUMPRODUCT(F9:K9,$F$6:$K$6)/SUM($F$6:$K$6)/5*100)</f>
        <v/>
      </c>
      <c r="M9" s="15" t="n"/>
      <c r="N9" s="17" t="inlineStr">
        <is>
          <t>Buka tautan Drive</t>
        </is>
      </c>
    </row>
    <row r="10">
      <c r="A10" s="9" t="n">
        <v>4</v>
      </c>
      <c r="B10" s="14" t="inlineStr">
        <is>
          <t>cilok poltek gak pakai kecap putihan aja</t>
        </is>
      </c>
      <c r="C10" s="14" t="inlineStr">
        <is>
          <t>Mohammad Daanii Althaaf Reivan Fadhlillah</t>
        </is>
      </c>
      <c r="D10" s="15" t="inlineStr">
        <is>
          <t>MOHAMMAD DAANII ALTHAAF REIVAN FADHLILLAH (254107020123)
RAJENDRA PUTRA MAHESWARA (254107020090)
FAWAS SAQIF ABDULLOHIL WALI (254107020037)
NAJWA ADHA KHAIRUNISSA GIARNO (254107020191)
DANIEL RAMADHANI ZULKARNAIN (254107020255)</t>
        </is>
      </c>
      <c r="E10" s="4" t="inlineStr">
        <is>
          <t>EasyPrint : Sistem Informasi Pemesanan dan Manajemen Pesanan Percetakan</t>
        </is>
      </c>
      <c r="F10" s="16" t="n"/>
      <c r="G10" s="16" t="n"/>
      <c r="H10" s="16" t="n"/>
      <c r="I10" s="16" t="n"/>
      <c r="J10" s="16" t="n"/>
      <c r="K10" s="16" t="n"/>
      <c r="L10" s="11">
        <f>IF(COUNT(F10:K10)&lt;6,"",SUMPRODUCT(F10:K10,$F$6:$K$6)/SUM($F$6:$K$6)/5*100)</f>
        <v/>
      </c>
      <c r="M10" s="15" t="n"/>
      <c r="N10" s="17" t="inlineStr">
        <is>
          <t>Buka tautan Drive</t>
        </is>
      </c>
    </row>
    <row r="11">
      <c r="A11" s="9" t="n">
        <v>5</v>
      </c>
      <c r="B11" s="14" t="inlineStr">
        <is>
          <t>kata jo yang ga ngerjain disuruh kayang didepan gedung sipil</t>
        </is>
      </c>
      <c r="C11" s="14" t="inlineStr">
        <is>
          <t>Putra Bakti Suljati Negara Syamsu</t>
        </is>
      </c>
      <c r="D11" s="15" t="inlineStr">
        <is>
          <t>Putra Bakti Suljati Negara Syamsu (254107020147)
Jonathan Abdiel Haryono (254107020036)
Fafirru Hadzami Syach Mashuri (254107020104)
Naufal Farhan Nur Ramadhan (254107020077)
Muhammad Abyan Andhi Putra (254107020149)</t>
        </is>
      </c>
      <c r="E11" s="4" t="inlineStr">
        <is>
          <t>SBO (Sistem Bengkel Online)</t>
        </is>
      </c>
      <c r="F11" s="16" t="n"/>
      <c r="G11" s="16" t="n"/>
      <c r="H11" s="16" t="n"/>
      <c r="I11" s="16" t="n"/>
      <c r="J11" s="16" t="n"/>
      <c r="K11" s="16" t="n"/>
      <c r="L11" s="11">
        <f>IF(COUNT(F11:K11)&lt;6,"",SUMPRODUCT(F11:K11,$F$6:$K$6)/SUM($F$6:$K$6)/5*100)</f>
        <v/>
      </c>
      <c r="M11" s="15" t="n"/>
      <c r="N11" s="17" t="inlineStr">
        <is>
          <t>Buka tautan Drive</t>
        </is>
      </c>
    </row>
    <row r="12">
      <c r="A12" s="9" t="n">
        <v>6</v>
      </c>
      <c r="B12" s="14" t="inlineStr">
        <is>
          <t>DoubleB</t>
        </is>
      </c>
      <c r="C12" s="14" t="inlineStr">
        <is>
          <t>Rifky Febrian Raditya Pratama</t>
        </is>
      </c>
      <c r="D12" s="15" t="inlineStr">
        <is>
          <t>Rifky Febrian Raditya Pratama (254107020222)
Muhammad Bagas Fathurrahman (254107020032)
Bagaskara Pradana Yulianto (254107020215)
Nerazuriancta Purmama Syah Putri (254107020117)</t>
        </is>
      </c>
      <c r="E12" s="4" t="inlineStr">
        <is>
          <t>SI-IN (Sistem Informasi Inkubasi) Berbasis Website untuk Mendukung Pengelolaan Program, Peserta, Mentor, dan Aktivitas Inkubasi</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TI_2D - Dosen Pengampu: Candra Bella Vista, S.Kom.,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6</t>
        </is>
      </c>
      <c r="C7" s="14" t="inlineStr">
        <is>
          <t>Ferdyansyah Prakoso</t>
        </is>
      </c>
      <c r="D7" s="15" t="inlineStr">
        <is>
          <t>Ketua: Ferdyansyah Prakoso</t>
        </is>
      </c>
      <c r="E7" s="4" t="inlineStr">
        <is>
          <t>Digitalisasi Layanan Pemesanan Lokal Berbasis Web Terintegrasi QRIS Statis untuk Mengatasi Antrean Pelanggan pada UMKM “Brawijaya Street Food”</t>
        </is>
      </c>
      <c r="F7" s="16" t="n"/>
      <c r="G7" s="16" t="n"/>
      <c r="H7" s="16" t="n"/>
      <c r="I7" s="16" t="n"/>
      <c r="J7" s="16" t="n"/>
      <c r="K7" s="16" t="n"/>
      <c r="L7" s="11">
        <f>IF(COUNT(F7:K7)&lt;6,"",SUMPRODUCT(F7:K7,$F$6:$K$6)/SUM($F$6:$K$6)/5*100)</f>
        <v/>
      </c>
      <c r="M7" s="15" t="n"/>
      <c r="N7" s="17" t="inlineStr">
        <is>
          <t>Buka tautan Drive</t>
        </is>
      </c>
    </row>
    <row r="8">
      <c r="A8" s="9" t="n">
        <v>2</v>
      </c>
      <c r="B8" s="14" t="inlineStr">
        <is>
          <t>Langit biru jadi jingga</t>
        </is>
      </c>
      <c r="C8" s="14" t="inlineStr">
        <is>
          <t>Radian Rafie Andhitama</t>
        </is>
      </c>
      <c r="D8" s="15" t="inlineStr">
        <is>
          <t>Yahya Agusta Rokhmansyah (254107020003)
Firstyara Putri Hilmanes (254107020164)
Radian Rafie Andhitama (254107020109)
Muhammad Rifqi Abdurrahman (254107020132)
Ahmad Raffie Athaya H (254107020063)</t>
        </is>
      </c>
      <c r="E8" s="4" t="inlineStr">
        <is>
          <t>PinjemDulu</t>
        </is>
      </c>
      <c r="F8" s="16" t="n"/>
      <c r="G8" s="16" t="n"/>
      <c r="H8" s="16" t="n"/>
      <c r="I8" s="16" t="n"/>
      <c r="J8" s="16" t="n"/>
      <c r="K8" s="16" t="n"/>
      <c r="L8" s="11">
        <f>IF(COUNT(F8:K8)&lt;6,"",SUMPRODUCT(F8:K8,$F$6:$K$6)/SUM($F$6:$K$6)/5*100)</f>
        <v/>
      </c>
      <c r="M8" s="15" t="n"/>
      <c r="N8" s="17" t="inlineStr">
        <is>
          <t>Buka tautan Drive</t>
        </is>
      </c>
    </row>
    <row r="9">
      <c r="A9" s="9" t="n">
        <v>3</v>
      </c>
      <c r="B9" s="14" t="inlineStr">
        <is>
          <t>PICO Team</t>
        </is>
      </c>
      <c r="C9" s="14" t="inlineStr">
        <is>
          <t>Al Fath Raya Maulana - 254107020018</t>
        </is>
      </c>
      <c r="D9" s="15" t="inlineStr">
        <is>
          <t>Ketua: Al Fath Raya Maulana - 254107020018</t>
        </is>
      </c>
      <c r="E9" s="4" t="inlineStr">
        <is>
          <t>PICO (Polinema Integrated Canteen Order): Aplikasi Berbasis Web untuk Sistem Pemesanan Online di Kantin AX Politeknik Negeri Malang</t>
        </is>
      </c>
      <c r="F9" s="16" t="n"/>
      <c r="G9" s="16" t="n"/>
      <c r="H9" s="16" t="n"/>
      <c r="I9" s="16" t="n"/>
      <c r="J9" s="16" t="n"/>
      <c r="K9" s="16" t="n"/>
      <c r="L9" s="11">
        <f>IF(COUNT(F9:K9)&lt;6,"",SUMPRODUCT(F9:K9,$F$6:$K$6)/SUM($F$6:$K$6)/5*100)</f>
        <v/>
      </c>
      <c r="M9" s="15" t="n"/>
      <c r="N9" s="17" t="inlineStr">
        <is>
          <t>Buka tautan Drive</t>
        </is>
      </c>
    </row>
    <row r="10">
      <c r="A10" s="9" t="n">
        <v>4</v>
      </c>
      <c r="B10" s="14" t="inlineStr">
        <is>
          <t>cilok poltek gak pakai kecap putihan aja</t>
        </is>
      </c>
      <c r="C10" s="14" t="inlineStr">
        <is>
          <t>Mohammad Daanii Althaaf Reivan Fadhlillah</t>
        </is>
      </c>
      <c r="D10" s="15" t="inlineStr">
        <is>
          <t>MOHAMMAD DAANII ALTHAAF REIVAN FADHLILLAH (254107020123)
RAJENDRA PUTRA MAHESWARA (254107020090)
FAWAS SAQIF ABDULLOHIL WALI (254107020037)
NAJWA ADHA KHAIRUNISSA GIARNO (254107020191)
DANIEL RAMADHANI ZULKARNAIN (254107020255)</t>
        </is>
      </c>
      <c r="E10" s="4" t="inlineStr">
        <is>
          <t>EasyPrint : Sistem Informasi Pemesanan dan Manajemen Pesanan Percetakan</t>
        </is>
      </c>
      <c r="F10" s="16" t="n"/>
      <c r="G10" s="16" t="n"/>
      <c r="H10" s="16" t="n"/>
      <c r="I10" s="16" t="n"/>
      <c r="J10" s="16" t="n"/>
      <c r="K10" s="16" t="n"/>
      <c r="L10" s="11">
        <f>IF(COUNT(F10:K10)&lt;6,"",SUMPRODUCT(F10:K10,$F$6:$K$6)/SUM($F$6:$K$6)/5*100)</f>
        <v/>
      </c>
      <c r="M10" s="15" t="n"/>
      <c r="N10" s="17" t="inlineStr">
        <is>
          <t>Buka tautan Drive</t>
        </is>
      </c>
    </row>
    <row r="11">
      <c r="A11" s="9" t="n">
        <v>5</v>
      </c>
      <c r="B11" s="14" t="inlineStr">
        <is>
          <t>kata jo yang ga ngerjain disuruh kayang didepan gedung sipil</t>
        </is>
      </c>
      <c r="C11" s="14" t="inlineStr">
        <is>
          <t>Putra Bakti Suljati Negara Syamsu</t>
        </is>
      </c>
      <c r="D11" s="15" t="inlineStr">
        <is>
          <t>Putra Bakti Suljati Negara Syamsu (254107020147)
Jonathan Abdiel Haryono (254107020036)
Fafirru Hadzami Syach Mashuri (254107020104)
Naufal Farhan Nur Ramadhan (254107020077)
Muhammad Abyan Andhi Putra (254107020149)</t>
        </is>
      </c>
      <c r="E11" s="4" t="inlineStr">
        <is>
          <t>SBO (Sistem Bengkel Online)</t>
        </is>
      </c>
      <c r="F11" s="16" t="n"/>
      <c r="G11" s="16" t="n"/>
      <c r="H11" s="16" t="n"/>
      <c r="I11" s="16" t="n"/>
      <c r="J11" s="16" t="n"/>
      <c r="K11" s="16" t="n"/>
      <c r="L11" s="11">
        <f>IF(COUNT(F11:K11)&lt;6,"",SUMPRODUCT(F11:K11,$F$6:$K$6)/SUM($F$6:$K$6)/5*100)</f>
        <v/>
      </c>
      <c r="M11" s="15" t="n"/>
      <c r="N11" s="17" t="inlineStr">
        <is>
          <t>Buka tautan Drive</t>
        </is>
      </c>
    </row>
    <row r="12">
      <c r="A12" s="9" t="n">
        <v>6</v>
      </c>
      <c r="B12" s="14" t="inlineStr">
        <is>
          <t>DoubleB</t>
        </is>
      </c>
      <c r="C12" s="14" t="inlineStr">
        <is>
          <t>Rifky Febrian Raditya Pratama</t>
        </is>
      </c>
      <c r="D12" s="15" t="inlineStr">
        <is>
          <t>Rifky Febrian Raditya Pratama (254107020222)
Muhammad Bagas Fathurrahman (254107020032)
Bagaskara Pradana Yulianto (254107020215)
Nerazuriancta Purmama Syah Putri (254107020117)</t>
        </is>
      </c>
      <c r="E12" s="4" t="inlineStr">
        <is>
          <t>SI-IN (Sistem Informasi Inkubasi) Berbasis Website untuk Mendukung Pengelolaan Program, Peserta, Mentor, dan Aktivitas Inkubasi</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TI_2D - Dosen Pengampu: Ariadi Retno Ririd, S.Kom., M.Kom.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6</t>
        </is>
      </c>
      <c r="C7" s="14" t="inlineStr">
        <is>
          <t>Ferdyansyah Prakoso</t>
        </is>
      </c>
      <c r="D7" s="15" t="inlineStr">
        <is>
          <t>Ketua: Ferdyansyah Prakoso</t>
        </is>
      </c>
      <c r="E7" s="4" t="inlineStr">
        <is>
          <t>Digitalisasi Layanan Pemesanan Lokal Berbasis Web Terintegrasi QRIS Statis untuk Mengatasi Antrean Pelanggan pada UMKM “Brawijaya Street Food”</t>
        </is>
      </c>
      <c r="F7" s="16" t="n"/>
      <c r="G7" s="16" t="n"/>
      <c r="H7" s="16" t="n"/>
      <c r="I7" s="16" t="n"/>
      <c r="J7" s="16" t="n"/>
      <c r="K7" s="16" t="n"/>
      <c r="L7" s="11">
        <f>IF(COUNT(F7:K7)&lt;6,"",SUMPRODUCT(F7:K7,$F$6:$K$6)/SUM($F$6:$K$6)/5*100)</f>
        <v/>
      </c>
      <c r="M7" s="15" t="n"/>
      <c r="N7" s="17" t="inlineStr">
        <is>
          <t>Buka tautan Drive</t>
        </is>
      </c>
    </row>
    <row r="8">
      <c r="A8" s="9" t="n">
        <v>2</v>
      </c>
      <c r="B8" s="14" t="inlineStr">
        <is>
          <t>Langit biru jadi jingga</t>
        </is>
      </c>
      <c r="C8" s="14" t="inlineStr">
        <is>
          <t>Radian Rafie Andhitama</t>
        </is>
      </c>
      <c r="D8" s="15" t="inlineStr">
        <is>
          <t>Yahya Agusta Rokhmansyah (254107020003)
Firstyara Putri Hilmanes (254107020164)
Radian Rafie Andhitama (254107020109)
Muhammad Rifqi Abdurrahman (254107020132)
Ahmad Raffie Athaya H (254107020063)</t>
        </is>
      </c>
      <c r="E8" s="4" t="inlineStr">
        <is>
          <t>PinjemDulu</t>
        </is>
      </c>
      <c r="F8" s="16" t="n"/>
      <c r="G8" s="16" t="n"/>
      <c r="H8" s="16" t="n"/>
      <c r="I8" s="16" t="n"/>
      <c r="J8" s="16" t="n"/>
      <c r="K8" s="16" t="n"/>
      <c r="L8" s="11">
        <f>IF(COUNT(F8:K8)&lt;6,"",SUMPRODUCT(F8:K8,$F$6:$K$6)/SUM($F$6:$K$6)/5*100)</f>
        <v/>
      </c>
      <c r="M8" s="15" t="n"/>
      <c r="N8" s="17" t="inlineStr">
        <is>
          <t>Buka tautan Drive</t>
        </is>
      </c>
    </row>
    <row r="9">
      <c r="A9" s="9" t="n">
        <v>3</v>
      </c>
      <c r="B9" s="14" t="inlineStr">
        <is>
          <t>PICO Team</t>
        </is>
      </c>
      <c r="C9" s="14" t="inlineStr">
        <is>
          <t>Al Fath Raya Maulana - 254107020018</t>
        </is>
      </c>
      <c r="D9" s="15" t="inlineStr">
        <is>
          <t>Ketua: Al Fath Raya Maulana - 254107020018</t>
        </is>
      </c>
      <c r="E9" s="4" t="inlineStr">
        <is>
          <t>PICO (Polinema Integrated Canteen Order): Aplikasi Berbasis Web untuk Sistem Pemesanan Online di Kantin AX Politeknik Negeri Malang</t>
        </is>
      </c>
      <c r="F9" s="16" t="n"/>
      <c r="G9" s="16" t="n"/>
      <c r="H9" s="16" t="n"/>
      <c r="I9" s="16" t="n"/>
      <c r="J9" s="16" t="n"/>
      <c r="K9" s="16" t="n"/>
      <c r="L9" s="11">
        <f>IF(COUNT(F9:K9)&lt;6,"",SUMPRODUCT(F9:K9,$F$6:$K$6)/SUM($F$6:$K$6)/5*100)</f>
        <v/>
      </c>
      <c r="M9" s="15" t="n"/>
      <c r="N9" s="17" t="inlineStr">
        <is>
          <t>Buka tautan Drive</t>
        </is>
      </c>
    </row>
    <row r="10">
      <c r="A10" s="9" t="n">
        <v>4</v>
      </c>
      <c r="B10" s="14" t="inlineStr">
        <is>
          <t>cilok poltek gak pakai kecap putihan aja</t>
        </is>
      </c>
      <c r="C10" s="14" t="inlineStr">
        <is>
          <t>Mohammad Daanii Althaaf Reivan Fadhlillah</t>
        </is>
      </c>
      <c r="D10" s="15" t="inlineStr">
        <is>
          <t>MOHAMMAD DAANII ALTHAAF REIVAN FADHLILLAH (254107020123)
RAJENDRA PUTRA MAHESWARA (254107020090)
FAWAS SAQIF ABDULLOHIL WALI (254107020037)
NAJWA ADHA KHAIRUNISSA GIARNO (254107020191)
DANIEL RAMADHANI ZULKARNAIN (254107020255)</t>
        </is>
      </c>
      <c r="E10" s="4" t="inlineStr">
        <is>
          <t>EasyPrint : Sistem Informasi Pemesanan dan Manajemen Pesanan Percetakan</t>
        </is>
      </c>
      <c r="F10" s="16" t="n"/>
      <c r="G10" s="16" t="n"/>
      <c r="H10" s="16" t="n"/>
      <c r="I10" s="16" t="n"/>
      <c r="J10" s="16" t="n"/>
      <c r="K10" s="16" t="n"/>
      <c r="L10" s="11">
        <f>IF(COUNT(F10:K10)&lt;6,"",SUMPRODUCT(F10:K10,$F$6:$K$6)/SUM($F$6:$K$6)/5*100)</f>
        <v/>
      </c>
      <c r="M10" s="15" t="n"/>
      <c r="N10" s="17" t="inlineStr">
        <is>
          <t>Buka tautan Drive</t>
        </is>
      </c>
    </row>
    <row r="11">
      <c r="A11" s="9" t="n">
        <v>5</v>
      </c>
      <c r="B11" s="14" t="inlineStr">
        <is>
          <t>kata jo yang ga ngerjain disuruh kayang didepan gedung sipil</t>
        </is>
      </c>
      <c r="C11" s="14" t="inlineStr">
        <is>
          <t>Putra Bakti Suljati Negara Syamsu</t>
        </is>
      </c>
      <c r="D11" s="15" t="inlineStr">
        <is>
          <t>Putra Bakti Suljati Negara Syamsu (254107020147)
Jonathan Abdiel Haryono (254107020036)
Fafirru Hadzami Syach Mashuri (254107020104)
Naufal Farhan Nur Ramadhan (254107020077)
Muhammad Abyan Andhi Putra (254107020149)</t>
        </is>
      </c>
      <c r="E11" s="4" t="inlineStr">
        <is>
          <t>SBO (Sistem Bengkel Online)</t>
        </is>
      </c>
      <c r="F11" s="16" t="n"/>
      <c r="G11" s="16" t="n"/>
      <c r="H11" s="16" t="n"/>
      <c r="I11" s="16" t="n"/>
      <c r="J11" s="16" t="n"/>
      <c r="K11" s="16" t="n"/>
      <c r="L11" s="11">
        <f>IF(COUNT(F11:K11)&lt;6,"",SUMPRODUCT(F11:K11,$F$6:$K$6)/SUM($F$6:$K$6)/5*100)</f>
        <v/>
      </c>
      <c r="M11" s="15" t="n"/>
      <c r="N11" s="17" t="inlineStr">
        <is>
          <t>Buka tautan Drive</t>
        </is>
      </c>
    </row>
    <row r="12">
      <c r="A12" s="9" t="n">
        <v>6</v>
      </c>
      <c r="B12" s="14" t="inlineStr">
        <is>
          <t>DoubleB</t>
        </is>
      </c>
      <c r="C12" s="14" t="inlineStr">
        <is>
          <t>Rifky Febrian Raditya Pratama</t>
        </is>
      </c>
      <c r="D12" s="15" t="inlineStr">
        <is>
          <t>Rifky Febrian Raditya Pratama (254107020222)
Muhammad Bagas Fathurrahman (254107020032)
Bagaskara Pradana Yulianto (254107020215)
Nerazuriancta Purmama Syah Putri (254107020117)</t>
        </is>
      </c>
      <c r="E12" s="4" t="inlineStr">
        <is>
          <t>SI-IN (Sistem Informasi Inkubasi) Berbasis Website untuk Mendukung Pengelolaan Program, Peserta, Mentor, dan Aktivitas Inkubasi</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TI_2D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Kelompok 6</t>
        </is>
      </c>
      <c r="C5" s="14" t="inlineStr">
        <is>
          <t>Ferdyansyah Prakoso</t>
        </is>
      </c>
      <c r="D5" s="4">
        <f>'Manajemen Proyek'!D7</f>
        <v/>
      </c>
      <c r="E5" s="4" t="inlineStr">
        <is>
          <t>Digitalisasi Layanan Pemesanan Lokal Berbasis Web Terintegrasi QRIS Statis untuk Mengatasi Antrean Pelanggan pada UMKM “Brawijaya Street Food”</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Langit biru jadi jingga</t>
        </is>
      </c>
      <c r="C6" s="14" t="inlineStr">
        <is>
          <t>Radian Rafie Andhitama</t>
        </is>
      </c>
      <c r="D6" s="4">
        <f>'Manajemen Proyek'!D8</f>
        <v/>
      </c>
      <c r="E6" s="4" t="inlineStr">
        <is>
          <t>PinjemDulu</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PICO Team</t>
        </is>
      </c>
      <c r="C7" s="14" t="inlineStr">
        <is>
          <t>Al Fath Raya Maulana - 254107020018</t>
        </is>
      </c>
      <c r="D7" s="4">
        <f>'Manajemen Proyek'!D9</f>
        <v/>
      </c>
      <c r="E7" s="4" t="inlineStr">
        <is>
          <t>PICO (Polinema Integrated Canteen Order): Aplikasi Berbasis Web untuk Sistem Pemesanan Online di Kantin AX Politeknik Negeri Malang</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cilok poltek gak pakai kecap putihan aja</t>
        </is>
      </c>
      <c r="C8" s="14" t="inlineStr">
        <is>
          <t>Mohammad Daanii Althaaf Reivan Fadhlillah</t>
        </is>
      </c>
      <c r="D8" s="4">
        <f>'Manajemen Proyek'!D10</f>
        <v/>
      </c>
      <c r="E8" s="4" t="inlineStr">
        <is>
          <t>EasyPrint : Sistem Informasi Pemesanan dan Manajemen Pesanan Percetakan</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kata jo yang ga ngerjain disuruh kayang didepan gedung sipil</t>
        </is>
      </c>
      <c r="C9" s="14" t="inlineStr">
        <is>
          <t>Putra Bakti Suljati Negara Syamsu</t>
        </is>
      </c>
      <c r="D9" s="4">
        <f>'Manajemen Proyek'!D11</f>
        <v/>
      </c>
      <c r="E9" s="4" t="inlineStr">
        <is>
          <t>SBO (Sistem Bengkel Online)</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row r="10">
      <c r="A10" s="9" t="n">
        <v>6</v>
      </c>
      <c r="B10" s="14" t="inlineStr">
        <is>
          <t>DoubleB</t>
        </is>
      </c>
      <c r="C10" s="14" t="inlineStr">
        <is>
          <t>Rifky Febrian Raditya Pratama</t>
        </is>
      </c>
      <c r="D10" s="4">
        <f>'Manajemen Proyek'!D12</f>
        <v/>
      </c>
      <c r="E10" s="4" t="inlineStr">
        <is>
          <t>SI-IN (Sistem Informasi Inkubasi) Berbasis Website untuk Mendukung Pengelolaan Program, Peserta, Mentor, dan Aktivitas Inkubasi</t>
        </is>
      </c>
      <c r="F10" s="11">
        <f>'Manajemen Proyek'!L12</f>
        <v/>
      </c>
      <c r="G10" s="4">
        <f>'Manajemen Proyek'!M12</f>
        <v/>
      </c>
      <c r="H10" s="11">
        <f>'Desain &amp; Pemrograman Web'!L12</f>
        <v/>
      </c>
      <c r="I10" s="4">
        <f>'Desain &amp; Pemrograman Web'!M12</f>
        <v/>
      </c>
      <c r="J10" s="11">
        <f>'Basis Data Lanjut'!L12</f>
        <v/>
      </c>
      <c r="K10" s="4">
        <f>'Basis Data Lanjut'!M12</f>
        <v/>
      </c>
      <c r="L10" s="11">
        <f>'Sistem Informasi Manajemen'!L12</f>
        <v/>
      </c>
      <c r="M10" s="4">
        <f>'Sistem Informasi Manajemen'!M12</f>
        <v/>
      </c>
      <c r="N10" s="11">
        <f>IFERROR(AVERAGE(F10,H10,J10,L10),"")</f>
        <v/>
      </c>
      <c r="O10"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