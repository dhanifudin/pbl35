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Pemrograman Mobile" sheetId="3" state="visible" r:id="rId3"/>
    <sheet name="Pembelajaran Mesin" sheetId="4" state="visible" r:id="rId4"/>
    <sheet name="Penjaminan Mutu Perangkat Lunak" sheetId="5" state="visible" r:id="rId5"/>
    <sheet name="Rekap"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fiwtkwGAGYfayixe0l3-bsXIEjCkT0WM" TargetMode="External" Id="rId1" /><Relationship Type="http://schemas.openxmlformats.org/officeDocument/2006/relationships/hyperlink" Target="https://drive.google.com/open?id=1rirIQ9MZQPysGLAE3LIRdPXkCNUi85QJ" TargetMode="External" Id="rId2" /><Relationship Type="http://schemas.openxmlformats.org/officeDocument/2006/relationships/hyperlink" Target="https://drive.google.com/open?id=1lQuazrZ4ZsX6uD-HSLj6CK1X7dUF23WS" TargetMode="External" Id="rId3" /><Relationship Type="http://schemas.openxmlformats.org/officeDocument/2006/relationships/hyperlink" Target="https://drive.google.com/open?id=1DqUMCPMMmgx3bXl2sq-_UJ74vmsrVZgJ" TargetMode="External" Id="rId4" /><Relationship Type="http://schemas.openxmlformats.org/officeDocument/2006/relationships/hyperlink" Target="https://drive.google.com/open?id=1npp6HKuIol2NPB2D5oScRIru1IZL5WbL" TargetMode="External" Id="rId5" /></Relationships>
</file>

<file path=xl/worksheets/_rels/sheet4.xml.rels><Relationships xmlns="http://schemas.openxmlformats.org/package/2006/relationships"><Relationship Type="http://schemas.openxmlformats.org/officeDocument/2006/relationships/hyperlink" Target="https://drive.google.com/open?id=1fiwtkwGAGYfayixe0l3-bsXIEjCkT0WM" TargetMode="External" Id="rId1" /><Relationship Type="http://schemas.openxmlformats.org/officeDocument/2006/relationships/hyperlink" Target="https://drive.google.com/open?id=1rirIQ9MZQPysGLAE3LIRdPXkCNUi85QJ" TargetMode="External" Id="rId2" /><Relationship Type="http://schemas.openxmlformats.org/officeDocument/2006/relationships/hyperlink" Target="https://drive.google.com/open?id=1lQuazrZ4ZsX6uD-HSLj6CK1X7dUF23WS" TargetMode="External" Id="rId3" /><Relationship Type="http://schemas.openxmlformats.org/officeDocument/2006/relationships/hyperlink" Target="https://drive.google.com/open?id=1DqUMCPMMmgx3bXl2sq-_UJ74vmsrVZgJ" TargetMode="External" Id="rId4" /><Relationship Type="http://schemas.openxmlformats.org/officeDocument/2006/relationships/hyperlink" Target="https://drive.google.com/open?id=1npp6HKuIol2NPB2D5oScRIru1IZL5WbL" TargetMode="External" Id="rId5" /></Relationships>
</file>

<file path=xl/worksheets/_rels/sheet5.xml.rels><Relationships xmlns="http://schemas.openxmlformats.org/package/2006/relationships"><Relationship Type="http://schemas.openxmlformats.org/officeDocument/2006/relationships/hyperlink" Target="https://drive.google.com/open?id=1fiwtkwGAGYfayixe0l3-bsXIEjCkT0WM" TargetMode="External" Id="rId1" /><Relationship Type="http://schemas.openxmlformats.org/officeDocument/2006/relationships/hyperlink" Target="https://drive.google.com/open?id=1rirIQ9MZQPysGLAE3LIRdPXkCNUi85QJ" TargetMode="External" Id="rId2" /><Relationship Type="http://schemas.openxmlformats.org/officeDocument/2006/relationships/hyperlink" Target="https://drive.google.com/open?id=1lQuazrZ4ZsX6uD-HSLj6CK1X7dUF23WS" TargetMode="External" Id="rId3" /><Relationship Type="http://schemas.openxmlformats.org/officeDocument/2006/relationships/hyperlink" Target="https://drive.google.com/open?id=1DqUMCPMMmgx3bXl2sq-_UJ74vmsrVZgJ" TargetMode="External" Id="rId4" /><Relationship Type="http://schemas.openxmlformats.org/officeDocument/2006/relationships/hyperlink" Target="https://drive.google.com/open?id=1npp6HKuIol2NPB2D5oScRIru1IZL5WbL" TargetMode="External" Id="rId5" /></Relationships>
</file>

<file path=xl/worksheets/_rels/sheet6.xml.rels><Relationships xmlns="http://schemas.openxmlformats.org/package/2006/relationships"><Relationship Type="http://schemas.openxmlformats.org/officeDocument/2006/relationships/hyperlink" Target="https://drive.google.com/open?id=1fiwtkwGAGYfayixe0l3-bsXIEjCkT0WM" TargetMode="External" Id="rId1" /><Relationship Type="http://schemas.openxmlformats.org/officeDocument/2006/relationships/hyperlink" Target="https://drive.google.com/open?id=1rirIQ9MZQPysGLAE3LIRdPXkCNUi85QJ" TargetMode="External" Id="rId2" /><Relationship Type="http://schemas.openxmlformats.org/officeDocument/2006/relationships/hyperlink" Target="https://drive.google.com/open?id=1lQuazrZ4ZsX6uD-HSLj6CK1X7dUF23WS" TargetMode="External" Id="rId3" /><Relationship Type="http://schemas.openxmlformats.org/officeDocument/2006/relationships/hyperlink" Target="https://drive.google.com/open?id=1DqUMCPMMmgx3bXl2sq-_UJ74vmsrVZgJ" TargetMode="External" Id="rId4" /><Relationship Type="http://schemas.openxmlformats.org/officeDocument/2006/relationships/hyperlink" Target="https://drive.google.com/open?id=1npp6HKuIol2NPB2D5oScRIru1IZL5WbL" TargetMode="External" Id="rId5"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TI_3E</t>
        </is>
      </c>
    </row>
    <row r="2" ht="20" customHeight="1">
      <c r="A2" s="2" t="inlineStr">
        <is>
          <t>Semester 5 -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TI_3E diampu oleh 3 mata kuliah terintegrasi PBL: Pemrograman Mobile, Pembelajaran Mesin, Penjaminan Mutu Perangkat Lunak.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Pemrograman Mobile</t>
        </is>
      </c>
      <c r="B1" s="7" t="n"/>
      <c r="C1" s="7" t="n"/>
      <c r="D1" s="7" t="n"/>
      <c r="E1" s="7" t="n"/>
      <c r="F1" s="7" t="n"/>
      <c r="G1" s="7" t="n"/>
      <c r="H1" s="7" t="n"/>
      <c r="I1" s="7" t="n"/>
      <c r="J1" s="7" t="n"/>
      <c r="K1" s="7" t="n"/>
      <c r="L1" s="7" t="n"/>
      <c r="M1" s="7" t="n"/>
      <c r="N1" s="7" t="n"/>
    </row>
    <row r="2" ht="18" customHeight="1">
      <c r="A2" s="2" t="inlineStr">
        <is>
          <t>Kelas TI_3E - Dosen Pengampu: Agung Nugroho Pramudhita, S.T., 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Menyala Tomatku</t>
        </is>
      </c>
      <c r="C7" s="14" t="inlineStr">
        <is>
          <t>Indhira Yuantika Christy</t>
        </is>
      </c>
      <c r="D7" s="15" t="inlineStr">
        <is>
          <t>Indhira Yuantika Christy (244107020171)
Adytria Bayu Ramadani (244107023004)
Achmad Anval A.A (244107020039)
Yulike Dwi Nurcahyani (244107020146)
Fikar Bahrul Santoso (244107020160)</t>
        </is>
      </c>
      <c r="E7" s="4" t="inlineStr">
        <is>
          <t>LeafItToMe</t>
        </is>
      </c>
      <c r="F7" s="16" t="n"/>
      <c r="G7" s="16" t="n"/>
      <c r="H7" s="16" t="n"/>
      <c r="I7" s="16" t="n"/>
      <c r="J7" s="16" t="n"/>
      <c r="K7" s="16" t="n"/>
      <c r="L7" s="11">
        <f>IF(COUNT(F7:K7)&lt;6,"",SUMPRODUCT(F7:K7,$F$6:$K$6)/SUM($F$6:$K$6)/5*100)</f>
        <v/>
      </c>
      <c r="M7" s="15" t="n"/>
      <c r="N7" s="17" t="inlineStr">
        <is>
          <t>Buka tautan Drive</t>
        </is>
      </c>
    </row>
    <row r="8">
      <c r="A8" s="9" t="n">
        <v>2</v>
      </c>
      <c r="B8" s="14" t="inlineStr">
        <is>
          <t>GassPol</t>
        </is>
      </c>
      <c r="C8" s="14" t="inlineStr">
        <is>
          <t>Aditya Rizqiqa Ramadhan</t>
        </is>
      </c>
      <c r="D8" s="15" t="inlineStr">
        <is>
          <t>Aditya Rizqiqa Ramadhan (244107020008)
Fifa Nuurun Halizah (244107020019)
Raditya Riefki (244107020204)
Shafiqa Nabila Maharani Khoirunnisa (244107020221)
Singgih Wahyu Permana (244107020102)</t>
        </is>
      </c>
      <c r="E8" s="4" t="inlineStr">
        <is>
          <t>siPaik</t>
        </is>
      </c>
      <c r="F8" s="16" t="n"/>
      <c r="G8" s="16" t="n"/>
      <c r="H8" s="16" t="n"/>
      <c r="I8" s="16" t="n"/>
      <c r="J8" s="16" t="n"/>
      <c r="K8" s="16" t="n"/>
      <c r="L8" s="11">
        <f>IF(COUNT(F8:K8)&lt;6,"",SUMPRODUCT(F8:K8,$F$6:$K$6)/SUM($F$6:$K$6)/5*100)</f>
        <v/>
      </c>
      <c r="M8" s="15" t="n"/>
      <c r="N8" s="17" t="inlineStr">
        <is>
          <t>Buka tautan Drive</t>
        </is>
      </c>
    </row>
    <row r="9">
      <c r="A9" s="9" t="n">
        <v>3</v>
      </c>
      <c r="B9" s="14" t="inlineStr">
        <is>
          <t>tim hehe</t>
        </is>
      </c>
      <c r="C9" s="14" t="inlineStr">
        <is>
          <t>Muhammad Shabran</t>
        </is>
      </c>
      <c r="D9" s="15" t="inlineStr">
        <is>
          <t>Ketua: Muhammad Shabran</t>
        </is>
      </c>
      <c r="E9" s="4" t="inlineStr">
        <is>
          <t>RoastMate</t>
        </is>
      </c>
      <c r="F9" s="16" t="n"/>
      <c r="G9" s="16" t="n"/>
      <c r="H9" s="16" t="n"/>
      <c r="I9" s="16" t="n"/>
      <c r="J9" s="16" t="n"/>
      <c r="K9" s="16" t="n"/>
      <c r="L9" s="11">
        <f>IF(COUNT(F9:K9)&lt;6,"",SUMPRODUCT(F9:K9,$F$6:$K$6)/SUM($F$6:$K$6)/5*100)</f>
        <v/>
      </c>
      <c r="M9" s="15" t="n"/>
      <c r="N9" s="17" t="inlineStr">
        <is>
          <t>Buka tautan Drive</t>
        </is>
      </c>
    </row>
    <row r="10">
      <c r="A10" s="9" t="n">
        <v>4</v>
      </c>
      <c r="B10" s="14" t="inlineStr">
        <is>
          <t>Kelompok 3</t>
        </is>
      </c>
      <c r="C10" s="14" t="inlineStr">
        <is>
          <t>Kamila Zahwa</t>
        </is>
      </c>
      <c r="D10" s="15" t="inlineStr">
        <is>
          <t>Adam Bahy Maulana (244107020207)
Destian Dwi Hardika (244107020203)
Gaduh Prakoso (244107020150)
Kamila Zahwa (244107020111)
Nur Alfiyanti (244107020055)</t>
        </is>
      </c>
      <c r="E10" s="4" t="inlineStr">
        <is>
          <t>GAYAKU: Rekomendasi Outfit Cerdas Berbasis Machine Learning untuk Semua Gender</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2</t>
        </is>
      </c>
      <c r="C11" s="14" t="inlineStr">
        <is>
          <t>Muhammad Rizky Firdiansyah</t>
        </is>
      </c>
      <c r="D11" s="15" t="inlineStr">
        <is>
          <t>Hafif Nurrahmad (244107020176)
Muhammad Rizky Firdiansyah (244107020013)
Radita Yoga Anugrah (254107023099)
Raihan Daffa Izzuddin (244107020113)
Risky Adi Prasetya (244107020153)</t>
        </is>
      </c>
      <c r="E11" s="4" t="inlineStr">
        <is>
          <t>SkinMatch: Aplikasi Mobile Analisis Kelayakan Kosmetik Berbasis OCR dan Random Forest untuk Personalisasi Profil Kulit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Pembelajaran Mesin</t>
        </is>
      </c>
      <c r="B1" s="7" t="n"/>
      <c r="C1" s="7" t="n"/>
      <c r="D1" s="7" t="n"/>
      <c r="E1" s="7" t="n"/>
      <c r="F1" s="7" t="n"/>
      <c r="G1" s="7" t="n"/>
      <c r="H1" s="7" t="n"/>
      <c r="I1" s="7" t="n"/>
      <c r="J1" s="7" t="n"/>
      <c r="K1" s="7" t="n"/>
      <c r="L1" s="7" t="n"/>
      <c r="M1" s="7" t="n"/>
      <c r="N1" s="7" t="n"/>
    </row>
    <row r="2" ht="18" customHeight="1">
      <c r="A2" s="2" t="inlineStr">
        <is>
          <t>Kelas TI_3E - Dosen Pengampu: Rachmad Imam Tarecha, S.Kom., M.Kom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Menyala Tomatku</t>
        </is>
      </c>
      <c r="C7" s="14" t="inlineStr">
        <is>
          <t>Indhira Yuantika Christy</t>
        </is>
      </c>
      <c r="D7" s="15" t="inlineStr">
        <is>
          <t>Indhira Yuantika Christy (244107020171)
Adytria Bayu Ramadani (244107023004)
Achmad Anval A.A (244107020039)
Yulike Dwi Nurcahyani (244107020146)
Fikar Bahrul Santoso (244107020160)</t>
        </is>
      </c>
      <c r="E7" s="4" t="inlineStr">
        <is>
          <t>LeafItToMe</t>
        </is>
      </c>
      <c r="F7" s="16" t="n"/>
      <c r="G7" s="16" t="n"/>
      <c r="H7" s="16" t="n"/>
      <c r="I7" s="16" t="n"/>
      <c r="J7" s="16" t="n"/>
      <c r="K7" s="16" t="n"/>
      <c r="L7" s="11">
        <f>IF(COUNT(F7:K7)&lt;6,"",SUMPRODUCT(F7:K7,$F$6:$K$6)/SUM($F$6:$K$6)/5*100)</f>
        <v/>
      </c>
      <c r="M7" s="15" t="n"/>
      <c r="N7" s="17" t="inlineStr">
        <is>
          <t>Buka tautan Drive</t>
        </is>
      </c>
    </row>
    <row r="8">
      <c r="A8" s="9" t="n">
        <v>2</v>
      </c>
      <c r="B8" s="14" t="inlineStr">
        <is>
          <t>GassPol</t>
        </is>
      </c>
      <c r="C8" s="14" t="inlineStr">
        <is>
          <t>Aditya Rizqiqa Ramadhan</t>
        </is>
      </c>
      <c r="D8" s="15" t="inlineStr">
        <is>
          <t>Aditya Rizqiqa Ramadhan (244107020008)
Fifa Nuurun Halizah (244107020019)
Raditya Riefki (244107020204)
Shafiqa Nabila Maharani Khoirunnisa (244107020221)
Singgih Wahyu Permana (244107020102)</t>
        </is>
      </c>
      <c r="E8" s="4" t="inlineStr">
        <is>
          <t>siPaik</t>
        </is>
      </c>
      <c r="F8" s="16" t="n"/>
      <c r="G8" s="16" t="n"/>
      <c r="H8" s="16" t="n"/>
      <c r="I8" s="16" t="n"/>
      <c r="J8" s="16" t="n"/>
      <c r="K8" s="16" t="n"/>
      <c r="L8" s="11">
        <f>IF(COUNT(F8:K8)&lt;6,"",SUMPRODUCT(F8:K8,$F$6:$K$6)/SUM($F$6:$K$6)/5*100)</f>
        <v/>
      </c>
      <c r="M8" s="15" t="n"/>
      <c r="N8" s="17" t="inlineStr">
        <is>
          <t>Buka tautan Drive</t>
        </is>
      </c>
    </row>
    <row r="9">
      <c r="A9" s="9" t="n">
        <v>3</v>
      </c>
      <c r="B9" s="14" t="inlineStr">
        <is>
          <t>tim hehe</t>
        </is>
      </c>
      <c r="C9" s="14" t="inlineStr">
        <is>
          <t>Muhammad Shabran</t>
        </is>
      </c>
      <c r="D9" s="15" t="inlineStr">
        <is>
          <t>Ketua: Muhammad Shabran</t>
        </is>
      </c>
      <c r="E9" s="4" t="inlineStr">
        <is>
          <t>RoastMate</t>
        </is>
      </c>
      <c r="F9" s="16" t="n"/>
      <c r="G9" s="16" t="n"/>
      <c r="H9" s="16" t="n"/>
      <c r="I9" s="16" t="n"/>
      <c r="J9" s="16" t="n"/>
      <c r="K9" s="16" t="n"/>
      <c r="L9" s="11">
        <f>IF(COUNT(F9:K9)&lt;6,"",SUMPRODUCT(F9:K9,$F$6:$K$6)/SUM($F$6:$K$6)/5*100)</f>
        <v/>
      </c>
      <c r="M9" s="15" t="n"/>
      <c r="N9" s="17" t="inlineStr">
        <is>
          <t>Buka tautan Drive</t>
        </is>
      </c>
    </row>
    <row r="10">
      <c r="A10" s="9" t="n">
        <v>4</v>
      </c>
      <c r="B10" s="14" t="inlineStr">
        <is>
          <t>Kelompok 3</t>
        </is>
      </c>
      <c r="C10" s="14" t="inlineStr">
        <is>
          <t>Kamila Zahwa</t>
        </is>
      </c>
      <c r="D10" s="15" t="inlineStr">
        <is>
          <t>Adam Bahy Maulana (244107020207)
Destian Dwi Hardika (244107020203)
Gaduh Prakoso (244107020150)
Kamila Zahwa (244107020111)
Nur Alfiyanti (244107020055)</t>
        </is>
      </c>
      <c r="E10" s="4" t="inlineStr">
        <is>
          <t>GAYAKU: Rekomendasi Outfit Cerdas Berbasis Machine Learning untuk Semua Gender</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2</t>
        </is>
      </c>
      <c r="C11" s="14" t="inlineStr">
        <is>
          <t>Muhammad Rizky Firdiansyah</t>
        </is>
      </c>
      <c r="D11" s="15" t="inlineStr">
        <is>
          <t>Hafif Nurrahmad (244107020176)
Muhammad Rizky Firdiansyah (244107020013)
Radita Yoga Anugrah (254107023099)
Raihan Daffa Izzuddin (244107020113)
Risky Adi Prasetya (244107020153)</t>
        </is>
      </c>
      <c r="E11" s="4" t="inlineStr">
        <is>
          <t>SkinMatch: Aplikasi Mobile Analisis Kelayakan Kosmetik Berbasis OCR dan Random Forest untuk Personalisasi Profil Kulit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Penjaminan Mutu Perangkat Lunak</t>
        </is>
      </c>
      <c r="B1" s="7" t="n"/>
      <c r="C1" s="7" t="n"/>
      <c r="D1" s="7" t="n"/>
      <c r="E1" s="7" t="n"/>
      <c r="F1" s="7" t="n"/>
      <c r="G1" s="7" t="n"/>
      <c r="H1" s="7" t="n"/>
      <c r="I1" s="7" t="n"/>
      <c r="J1" s="7" t="n"/>
      <c r="K1" s="7" t="n"/>
      <c r="L1" s="7" t="n"/>
      <c r="M1" s="7" t="n"/>
      <c r="N1" s="7" t="n"/>
    </row>
    <row r="2" ht="18" customHeight="1">
      <c r="A2" s="2" t="inlineStr">
        <is>
          <t>Kelas TI_3E - Dosen Pengampu: Titis Octary Satrio, S.ST., M.MT.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Menyala Tomatku</t>
        </is>
      </c>
      <c r="C7" s="14" t="inlineStr">
        <is>
          <t>Indhira Yuantika Christy</t>
        </is>
      </c>
      <c r="D7" s="15" t="inlineStr">
        <is>
          <t>Indhira Yuantika Christy (244107020171)
Adytria Bayu Ramadani (244107023004)
Achmad Anval A.A (244107020039)
Yulike Dwi Nurcahyani (244107020146)
Fikar Bahrul Santoso (244107020160)</t>
        </is>
      </c>
      <c r="E7" s="4" t="inlineStr">
        <is>
          <t>LeafItToMe</t>
        </is>
      </c>
      <c r="F7" s="16" t="n"/>
      <c r="G7" s="16" t="n"/>
      <c r="H7" s="16" t="n"/>
      <c r="I7" s="16" t="n"/>
      <c r="J7" s="16" t="n"/>
      <c r="K7" s="16" t="n"/>
      <c r="L7" s="11">
        <f>IF(COUNT(F7:K7)&lt;6,"",SUMPRODUCT(F7:K7,$F$6:$K$6)/SUM($F$6:$K$6)/5*100)</f>
        <v/>
      </c>
      <c r="M7" s="15" t="n"/>
      <c r="N7" s="17" t="inlineStr">
        <is>
          <t>Buka tautan Drive</t>
        </is>
      </c>
    </row>
    <row r="8">
      <c r="A8" s="9" t="n">
        <v>2</v>
      </c>
      <c r="B8" s="14" t="inlineStr">
        <is>
          <t>GassPol</t>
        </is>
      </c>
      <c r="C8" s="14" t="inlineStr">
        <is>
          <t>Aditya Rizqiqa Ramadhan</t>
        </is>
      </c>
      <c r="D8" s="15" t="inlineStr">
        <is>
          <t>Aditya Rizqiqa Ramadhan (244107020008)
Fifa Nuurun Halizah (244107020019)
Raditya Riefki (244107020204)
Shafiqa Nabila Maharani Khoirunnisa (244107020221)
Singgih Wahyu Permana (244107020102)</t>
        </is>
      </c>
      <c r="E8" s="4" t="inlineStr">
        <is>
          <t>siPaik</t>
        </is>
      </c>
      <c r="F8" s="16" t="n"/>
      <c r="G8" s="16" t="n"/>
      <c r="H8" s="16" t="n"/>
      <c r="I8" s="16" t="n"/>
      <c r="J8" s="16" t="n"/>
      <c r="K8" s="16" t="n"/>
      <c r="L8" s="11">
        <f>IF(COUNT(F8:K8)&lt;6,"",SUMPRODUCT(F8:K8,$F$6:$K$6)/SUM($F$6:$K$6)/5*100)</f>
        <v/>
      </c>
      <c r="M8" s="15" t="n"/>
      <c r="N8" s="17" t="inlineStr">
        <is>
          <t>Buka tautan Drive</t>
        </is>
      </c>
    </row>
    <row r="9">
      <c r="A9" s="9" t="n">
        <v>3</v>
      </c>
      <c r="B9" s="14" t="inlineStr">
        <is>
          <t>tim hehe</t>
        </is>
      </c>
      <c r="C9" s="14" t="inlineStr">
        <is>
          <t>Muhammad Shabran</t>
        </is>
      </c>
      <c r="D9" s="15" t="inlineStr">
        <is>
          <t>Ketua: Muhammad Shabran</t>
        </is>
      </c>
      <c r="E9" s="4" t="inlineStr">
        <is>
          <t>RoastMate</t>
        </is>
      </c>
      <c r="F9" s="16" t="n"/>
      <c r="G9" s="16" t="n"/>
      <c r="H9" s="16" t="n"/>
      <c r="I9" s="16" t="n"/>
      <c r="J9" s="16" t="n"/>
      <c r="K9" s="16" t="n"/>
      <c r="L9" s="11">
        <f>IF(COUNT(F9:K9)&lt;6,"",SUMPRODUCT(F9:K9,$F$6:$K$6)/SUM($F$6:$K$6)/5*100)</f>
        <v/>
      </c>
      <c r="M9" s="15" t="n"/>
      <c r="N9" s="17" t="inlineStr">
        <is>
          <t>Buka tautan Drive</t>
        </is>
      </c>
    </row>
    <row r="10">
      <c r="A10" s="9" t="n">
        <v>4</v>
      </c>
      <c r="B10" s="14" t="inlineStr">
        <is>
          <t>Kelompok 3</t>
        </is>
      </c>
      <c r="C10" s="14" t="inlineStr">
        <is>
          <t>Kamila Zahwa</t>
        </is>
      </c>
      <c r="D10" s="15" t="inlineStr">
        <is>
          <t>Adam Bahy Maulana (244107020207)
Destian Dwi Hardika (244107020203)
Gaduh Prakoso (244107020150)
Kamila Zahwa (244107020111)
Nur Alfiyanti (244107020055)</t>
        </is>
      </c>
      <c r="E10" s="4" t="inlineStr">
        <is>
          <t>GAYAKU: Rekomendasi Outfit Cerdas Berbasis Machine Learning untuk Semua Gender</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2</t>
        </is>
      </c>
      <c r="C11" s="14" t="inlineStr">
        <is>
          <t>Muhammad Rizky Firdiansyah</t>
        </is>
      </c>
      <c r="D11" s="15" t="inlineStr">
        <is>
          <t>Hafif Nurrahmad (244107020176)
Muhammad Rizky Firdiansyah (244107020013)
Radita Yoga Anugrah (254107023099)
Raihan Daffa Izzuddin (244107020113)
Risky Adi Prasetya (244107020153)</t>
        </is>
      </c>
      <c r="E11" s="4" t="inlineStr">
        <is>
          <t>SkinMatch: Aplikasi Mobile Analisis Kelayakan Kosmetik Berbasis OCR dan Random Forest untuk Personalisasi Profil Kulit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4" customWidth="1" min="12" max="12"/>
    <col width="24" customWidth="1" min="13" max="13"/>
  </cols>
  <sheetData>
    <row r="1" ht="26" customHeight="1">
      <c r="A1" s="1" t="inlineStr">
        <is>
          <t>Rekap Nilai Proposal - Kelas TI_3E (Semua Dosen)</t>
        </is>
      </c>
      <c r="B1" s="7" t="n"/>
      <c r="C1" s="7" t="n"/>
      <c r="D1" s="7" t="n"/>
      <c r="E1" s="7" t="n"/>
      <c r="F1" s="7" t="n"/>
      <c r="G1" s="7" t="n"/>
      <c r="H1" s="7" t="n"/>
      <c r="I1" s="7" t="n"/>
      <c r="J1" s="7" t="n"/>
      <c r="K1" s="7" t="n"/>
      <c r="L1" s="7" t="n"/>
      <c r="M1" s="7" t="n"/>
    </row>
    <row r="2" ht="18" customHeight="1">
      <c r="A2" s="2" t="inlineStr">
        <is>
          <t>Semester 5 - Checkpoint Proposal</t>
        </is>
      </c>
      <c r="B2" s="7" t="n"/>
      <c r="C2" s="7" t="n"/>
      <c r="D2" s="7" t="n"/>
      <c r="E2" s="7" t="n"/>
      <c r="F2" s="7" t="n"/>
      <c r="G2" s="7" t="n"/>
      <c r="H2" s="7" t="n"/>
      <c r="I2" s="7" t="n"/>
      <c r="J2" s="7" t="n"/>
      <c r="K2" s="7" t="n"/>
      <c r="L2" s="7" t="n"/>
      <c r="M2" s="7" t="n"/>
    </row>
    <row r="4" ht="42" customHeight="1">
      <c r="A4" s="8" t="inlineStr">
        <is>
          <t>No</t>
        </is>
      </c>
      <c r="B4" s="8" t="inlineStr">
        <is>
          <t>Nama Tim</t>
        </is>
      </c>
      <c r="C4" s="8" t="inlineStr">
        <is>
          <t>Nama Ketua Tim</t>
        </is>
      </c>
      <c r="D4" s="8" t="inlineStr">
        <is>
          <t>Anggota Tim</t>
        </is>
      </c>
      <c r="E4" s="8" t="inlineStr">
        <is>
          <t>Judul Produk</t>
        </is>
      </c>
      <c r="F4" s="8" t="inlineStr">
        <is>
          <t>Nilai - Pemrograman Mobile</t>
        </is>
      </c>
      <c r="G4" s="8" t="inlineStr">
        <is>
          <t>Revisi - Pemrograman Mobile</t>
        </is>
      </c>
      <c r="H4" s="8" t="inlineStr">
        <is>
          <t>Nilai - Pembelajaran Mesin</t>
        </is>
      </c>
      <c r="I4" s="8" t="inlineStr">
        <is>
          <t>Revisi - Pembelajaran Mesin</t>
        </is>
      </c>
      <c r="J4" s="8" t="inlineStr">
        <is>
          <t>Nilai - Penjaminan Mutu Perangkat Lunak</t>
        </is>
      </c>
      <c r="K4" s="8" t="inlineStr">
        <is>
          <t>Revisi - Penjaminan Mutu Perangkat Lunak</t>
        </is>
      </c>
      <c r="L4" s="8" t="inlineStr">
        <is>
          <t>Nilai Rata-rata</t>
        </is>
      </c>
      <c r="M4" s="8" t="inlineStr">
        <is>
          <t>Berkas Proposal</t>
        </is>
      </c>
    </row>
    <row r="5">
      <c r="A5" s="9" t="n">
        <v>1</v>
      </c>
      <c r="B5" s="14" t="inlineStr">
        <is>
          <t>Menyala Tomatku</t>
        </is>
      </c>
      <c r="C5" s="14" t="inlineStr">
        <is>
          <t>Indhira Yuantika Christy</t>
        </is>
      </c>
      <c r="D5" s="4">
        <f>'Pemrograman Mobile'!D7</f>
        <v/>
      </c>
      <c r="E5" s="4" t="inlineStr">
        <is>
          <t>LeafItToMe</t>
        </is>
      </c>
      <c r="F5" s="11">
        <f>'Pemrograman Mobile'!L7</f>
        <v/>
      </c>
      <c r="G5" s="4">
        <f>'Pemrograman Mobile'!M7</f>
        <v/>
      </c>
      <c r="H5" s="11">
        <f>'Pembelajaran Mesin'!L7</f>
        <v/>
      </c>
      <c r="I5" s="4">
        <f>'Pembelajaran Mesin'!M7</f>
        <v/>
      </c>
      <c r="J5" s="11">
        <f>'Penjaminan Mutu Perangkat Lunak'!L7</f>
        <v/>
      </c>
      <c r="K5" s="4">
        <f>'Penjaminan Mutu Perangkat Lunak'!M7</f>
        <v/>
      </c>
      <c r="L5" s="11">
        <f>IFERROR(AVERAGE(F5,H5,J5),"")</f>
        <v/>
      </c>
      <c r="M5" s="17" t="inlineStr">
        <is>
          <t>Buka tautan Drive</t>
        </is>
      </c>
    </row>
    <row r="6">
      <c r="A6" s="9" t="n">
        <v>2</v>
      </c>
      <c r="B6" s="14" t="inlineStr">
        <is>
          <t>GassPol</t>
        </is>
      </c>
      <c r="C6" s="14" t="inlineStr">
        <is>
          <t>Aditya Rizqiqa Ramadhan</t>
        </is>
      </c>
      <c r="D6" s="4">
        <f>'Pemrograman Mobile'!D8</f>
        <v/>
      </c>
      <c r="E6" s="4" t="inlineStr">
        <is>
          <t>siPaik</t>
        </is>
      </c>
      <c r="F6" s="11">
        <f>'Pemrograman Mobile'!L8</f>
        <v/>
      </c>
      <c r="G6" s="4">
        <f>'Pemrograman Mobile'!M8</f>
        <v/>
      </c>
      <c r="H6" s="11">
        <f>'Pembelajaran Mesin'!L8</f>
        <v/>
      </c>
      <c r="I6" s="4">
        <f>'Pembelajaran Mesin'!M8</f>
        <v/>
      </c>
      <c r="J6" s="11">
        <f>'Penjaminan Mutu Perangkat Lunak'!L8</f>
        <v/>
      </c>
      <c r="K6" s="4">
        <f>'Penjaminan Mutu Perangkat Lunak'!M8</f>
        <v/>
      </c>
      <c r="L6" s="11">
        <f>IFERROR(AVERAGE(F6,H6,J6),"")</f>
        <v/>
      </c>
      <c r="M6" s="17" t="inlineStr">
        <is>
          <t>Buka tautan Drive</t>
        </is>
      </c>
    </row>
    <row r="7">
      <c r="A7" s="9" t="n">
        <v>3</v>
      </c>
      <c r="B7" s="14" t="inlineStr">
        <is>
          <t>tim hehe</t>
        </is>
      </c>
      <c r="C7" s="14" t="inlineStr">
        <is>
          <t>Muhammad Shabran</t>
        </is>
      </c>
      <c r="D7" s="4">
        <f>'Pemrograman Mobile'!D9</f>
        <v/>
      </c>
      <c r="E7" s="4" t="inlineStr">
        <is>
          <t>RoastMate</t>
        </is>
      </c>
      <c r="F7" s="11">
        <f>'Pemrograman Mobile'!L9</f>
        <v/>
      </c>
      <c r="G7" s="4">
        <f>'Pemrograman Mobile'!M9</f>
        <v/>
      </c>
      <c r="H7" s="11">
        <f>'Pembelajaran Mesin'!L9</f>
        <v/>
      </c>
      <c r="I7" s="4">
        <f>'Pembelajaran Mesin'!M9</f>
        <v/>
      </c>
      <c r="J7" s="11">
        <f>'Penjaminan Mutu Perangkat Lunak'!L9</f>
        <v/>
      </c>
      <c r="K7" s="4">
        <f>'Penjaminan Mutu Perangkat Lunak'!M9</f>
        <v/>
      </c>
      <c r="L7" s="11">
        <f>IFERROR(AVERAGE(F7,H7,J7),"")</f>
        <v/>
      </c>
      <c r="M7" s="17" t="inlineStr">
        <is>
          <t>Buka tautan Drive</t>
        </is>
      </c>
    </row>
    <row r="8">
      <c r="A8" s="9" t="n">
        <v>4</v>
      </c>
      <c r="B8" s="14" t="inlineStr">
        <is>
          <t>Kelompok 3</t>
        </is>
      </c>
      <c r="C8" s="14" t="inlineStr">
        <is>
          <t>Kamila Zahwa</t>
        </is>
      </c>
      <c r="D8" s="4">
        <f>'Pemrograman Mobile'!D10</f>
        <v/>
      </c>
      <c r="E8" s="4" t="inlineStr">
        <is>
          <t>GAYAKU: Rekomendasi Outfit Cerdas Berbasis Machine Learning untuk Semua Gender</t>
        </is>
      </c>
      <c r="F8" s="11">
        <f>'Pemrograman Mobile'!L10</f>
        <v/>
      </c>
      <c r="G8" s="4">
        <f>'Pemrograman Mobile'!M10</f>
        <v/>
      </c>
      <c r="H8" s="11">
        <f>'Pembelajaran Mesin'!L10</f>
        <v/>
      </c>
      <c r="I8" s="4">
        <f>'Pembelajaran Mesin'!M10</f>
        <v/>
      </c>
      <c r="J8" s="11">
        <f>'Penjaminan Mutu Perangkat Lunak'!L10</f>
        <v/>
      </c>
      <c r="K8" s="4">
        <f>'Penjaminan Mutu Perangkat Lunak'!M10</f>
        <v/>
      </c>
      <c r="L8" s="11">
        <f>IFERROR(AVERAGE(F8,H8,J8),"")</f>
        <v/>
      </c>
      <c r="M8" s="17" t="inlineStr">
        <is>
          <t>Buka tautan Drive</t>
        </is>
      </c>
    </row>
    <row r="9">
      <c r="A9" s="9" t="n">
        <v>5</v>
      </c>
      <c r="B9" s="14" t="inlineStr">
        <is>
          <t>Kelompok 2</t>
        </is>
      </c>
      <c r="C9" s="14" t="inlineStr">
        <is>
          <t>Muhammad Rizky Firdiansyah</t>
        </is>
      </c>
      <c r="D9" s="4">
        <f>'Pemrograman Mobile'!D11</f>
        <v/>
      </c>
      <c r="E9" s="4" t="inlineStr">
        <is>
          <t>SkinMatch: Aplikasi Mobile Analisis Kelayakan Kosmetik Berbasis OCR dan Random Forest untuk Personalisasi Profil Kulit</t>
        </is>
      </c>
      <c r="F9" s="11">
        <f>'Pemrograman Mobile'!L11</f>
        <v/>
      </c>
      <c r="G9" s="4">
        <f>'Pemrograman Mobile'!M11</f>
        <v/>
      </c>
      <c r="H9" s="11">
        <f>'Pembelajaran Mesin'!L11</f>
        <v/>
      </c>
      <c r="I9" s="4">
        <f>'Pembelajaran Mesin'!M11</f>
        <v/>
      </c>
      <c r="J9" s="11">
        <f>'Penjaminan Mutu Perangkat Lunak'!L11</f>
        <v/>
      </c>
      <c r="K9" s="4">
        <f>'Penjaminan Mutu Perangkat Lunak'!M11</f>
        <v/>
      </c>
      <c r="L9" s="11">
        <f>IFERROR(AVERAGE(F9,H9,J9),"")</f>
        <v/>
      </c>
      <c r="M9" s="17" t="inlineStr">
        <is>
          <t>Buka tautan Drive</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2026-09-20T10:42:00Z</dcterms:modified>
</cp:coreProperties>
</file>