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Manajemen Proyek" sheetId="3" state="visible" r:id="rId3"/>
    <sheet name="Desain &amp; Pemrograman Web" sheetId="4" state="visible" r:id="rId4"/>
    <sheet name="Basis Data Lanjut" sheetId="5" state="visible" r:id="rId5"/>
    <sheet name="Sistem Informasi Manajemen" sheetId="6" state="visible" r:id="rId6"/>
    <sheet name="Rekap"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y3818-YfCf9ErcLYjEDM9hVmQ0aNnuoR" TargetMode="External" Id="rId1" /><Relationship Type="http://schemas.openxmlformats.org/officeDocument/2006/relationships/hyperlink" Target="https://drive.google.com/open?id=1mABexxqYZ3U3jHqEJuTxmsOFP4DGkWIU" TargetMode="External" Id="rId2" /><Relationship Type="http://schemas.openxmlformats.org/officeDocument/2006/relationships/hyperlink" Target="https://drive.google.com/open?id=1LiDkI_Y1VwHbzVPolFeEEBBwztn3Qtq-" TargetMode="External" Id="rId3" /><Relationship Type="http://schemas.openxmlformats.org/officeDocument/2006/relationships/hyperlink" Target="https://drive.google.com/open?id=1h3DRvdKhUPPNUFziSnUlrTtTMHPqacU0" TargetMode="External" Id="rId4" /><Relationship Type="http://schemas.openxmlformats.org/officeDocument/2006/relationships/hyperlink" Target="https://drive.google.com/open?id=1NBVz-SpHAmGQ5Vq8e0dIWT8WWuZ36M2w" TargetMode="External" Id="rId5" /><Relationship Type="http://schemas.openxmlformats.org/officeDocument/2006/relationships/hyperlink" Target="https://drive.google.com/open?id=1NPLWv-3f_l9gS9E2UOJOYqcVaSBZEyrb" TargetMode="External" Id="rId6" /><Relationship Type="http://schemas.openxmlformats.org/officeDocument/2006/relationships/hyperlink" Target="https://drive.google.com/open?id=1ztoqG8ZEZIulWX5fVc40ctkw7_RH_PyE" TargetMode="External" Id="rId7" /></Relationships>
</file>

<file path=xl/worksheets/_rels/sheet4.xml.rels><Relationships xmlns="http://schemas.openxmlformats.org/package/2006/relationships"><Relationship Type="http://schemas.openxmlformats.org/officeDocument/2006/relationships/hyperlink" Target="https://drive.google.com/open?id=1y3818-YfCf9ErcLYjEDM9hVmQ0aNnuoR" TargetMode="External" Id="rId1" /><Relationship Type="http://schemas.openxmlformats.org/officeDocument/2006/relationships/hyperlink" Target="https://drive.google.com/open?id=1mABexxqYZ3U3jHqEJuTxmsOFP4DGkWIU" TargetMode="External" Id="rId2" /><Relationship Type="http://schemas.openxmlformats.org/officeDocument/2006/relationships/hyperlink" Target="https://drive.google.com/open?id=1LiDkI_Y1VwHbzVPolFeEEBBwztn3Qtq-" TargetMode="External" Id="rId3" /><Relationship Type="http://schemas.openxmlformats.org/officeDocument/2006/relationships/hyperlink" Target="https://drive.google.com/open?id=1h3DRvdKhUPPNUFziSnUlrTtTMHPqacU0" TargetMode="External" Id="rId4" /><Relationship Type="http://schemas.openxmlformats.org/officeDocument/2006/relationships/hyperlink" Target="https://drive.google.com/open?id=1NBVz-SpHAmGQ5Vq8e0dIWT8WWuZ36M2w" TargetMode="External" Id="rId5" /><Relationship Type="http://schemas.openxmlformats.org/officeDocument/2006/relationships/hyperlink" Target="https://drive.google.com/open?id=1NPLWv-3f_l9gS9E2UOJOYqcVaSBZEyrb" TargetMode="External" Id="rId6" /><Relationship Type="http://schemas.openxmlformats.org/officeDocument/2006/relationships/hyperlink" Target="https://drive.google.com/open?id=1ztoqG8ZEZIulWX5fVc40ctkw7_RH_PyE" TargetMode="External" Id="rId7" /></Relationships>
</file>

<file path=xl/worksheets/_rels/sheet5.xml.rels><Relationships xmlns="http://schemas.openxmlformats.org/package/2006/relationships"><Relationship Type="http://schemas.openxmlformats.org/officeDocument/2006/relationships/hyperlink" Target="https://drive.google.com/open?id=1y3818-YfCf9ErcLYjEDM9hVmQ0aNnuoR" TargetMode="External" Id="rId1" /><Relationship Type="http://schemas.openxmlformats.org/officeDocument/2006/relationships/hyperlink" Target="https://drive.google.com/open?id=1mABexxqYZ3U3jHqEJuTxmsOFP4DGkWIU" TargetMode="External" Id="rId2" /><Relationship Type="http://schemas.openxmlformats.org/officeDocument/2006/relationships/hyperlink" Target="https://drive.google.com/open?id=1LiDkI_Y1VwHbzVPolFeEEBBwztn3Qtq-" TargetMode="External" Id="rId3" /><Relationship Type="http://schemas.openxmlformats.org/officeDocument/2006/relationships/hyperlink" Target="https://drive.google.com/open?id=1h3DRvdKhUPPNUFziSnUlrTtTMHPqacU0" TargetMode="External" Id="rId4" /><Relationship Type="http://schemas.openxmlformats.org/officeDocument/2006/relationships/hyperlink" Target="https://drive.google.com/open?id=1NBVz-SpHAmGQ5Vq8e0dIWT8WWuZ36M2w" TargetMode="External" Id="rId5" /><Relationship Type="http://schemas.openxmlformats.org/officeDocument/2006/relationships/hyperlink" Target="https://drive.google.com/open?id=1NPLWv-3f_l9gS9E2UOJOYqcVaSBZEyrb" TargetMode="External" Id="rId6" /><Relationship Type="http://schemas.openxmlformats.org/officeDocument/2006/relationships/hyperlink" Target="https://drive.google.com/open?id=1ztoqG8ZEZIulWX5fVc40ctkw7_RH_PyE" TargetMode="External" Id="rId7" /></Relationships>
</file>

<file path=xl/worksheets/_rels/sheet6.xml.rels><Relationships xmlns="http://schemas.openxmlformats.org/package/2006/relationships"><Relationship Type="http://schemas.openxmlformats.org/officeDocument/2006/relationships/hyperlink" Target="https://drive.google.com/open?id=1y3818-YfCf9ErcLYjEDM9hVmQ0aNnuoR" TargetMode="External" Id="rId1" /><Relationship Type="http://schemas.openxmlformats.org/officeDocument/2006/relationships/hyperlink" Target="https://drive.google.com/open?id=1mABexxqYZ3U3jHqEJuTxmsOFP4DGkWIU" TargetMode="External" Id="rId2" /><Relationship Type="http://schemas.openxmlformats.org/officeDocument/2006/relationships/hyperlink" Target="https://drive.google.com/open?id=1LiDkI_Y1VwHbzVPolFeEEBBwztn3Qtq-" TargetMode="External" Id="rId3" /><Relationship Type="http://schemas.openxmlformats.org/officeDocument/2006/relationships/hyperlink" Target="https://drive.google.com/open?id=1h3DRvdKhUPPNUFziSnUlrTtTMHPqacU0" TargetMode="External" Id="rId4" /><Relationship Type="http://schemas.openxmlformats.org/officeDocument/2006/relationships/hyperlink" Target="https://drive.google.com/open?id=1NBVz-SpHAmGQ5Vq8e0dIWT8WWuZ36M2w" TargetMode="External" Id="rId5" /><Relationship Type="http://schemas.openxmlformats.org/officeDocument/2006/relationships/hyperlink" Target="https://drive.google.com/open?id=1NPLWv-3f_l9gS9E2UOJOYqcVaSBZEyrb" TargetMode="External" Id="rId6" /><Relationship Type="http://schemas.openxmlformats.org/officeDocument/2006/relationships/hyperlink" Target="https://drive.google.com/open?id=1ztoqG8ZEZIulWX5fVc40ctkw7_RH_PyE" TargetMode="External" Id="rId7" /></Relationships>
</file>

<file path=xl/worksheets/_rels/sheet7.xml.rels><Relationships xmlns="http://schemas.openxmlformats.org/package/2006/relationships"><Relationship Type="http://schemas.openxmlformats.org/officeDocument/2006/relationships/hyperlink" Target="https://drive.google.com/open?id=1y3818-YfCf9ErcLYjEDM9hVmQ0aNnuoR" TargetMode="External" Id="rId1" /><Relationship Type="http://schemas.openxmlformats.org/officeDocument/2006/relationships/hyperlink" Target="https://drive.google.com/open?id=1mABexxqYZ3U3jHqEJuTxmsOFP4DGkWIU" TargetMode="External" Id="rId2" /><Relationship Type="http://schemas.openxmlformats.org/officeDocument/2006/relationships/hyperlink" Target="https://drive.google.com/open?id=1LiDkI_Y1VwHbzVPolFeEEBBwztn3Qtq-" TargetMode="External" Id="rId3" /><Relationship Type="http://schemas.openxmlformats.org/officeDocument/2006/relationships/hyperlink" Target="https://drive.google.com/open?id=1h3DRvdKhUPPNUFziSnUlrTtTMHPqacU0" TargetMode="External" Id="rId4" /><Relationship Type="http://schemas.openxmlformats.org/officeDocument/2006/relationships/hyperlink" Target="https://drive.google.com/open?id=1NBVz-SpHAmGQ5Vq8e0dIWT8WWuZ36M2w" TargetMode="External" Id="rId5" /><Relationship Type="http://schemas.openxmlformats.org/officeDocument/2006/relationships/hyperlink" Target="https://drive.google.com/open?id=1NPLWv-3f_l9gS9E2UOJOYqcVaSBZEyrb" TargetMode="External" Id="rId6" /><Relationship Type="http://schemas.openxmlformats.org/officeDocument/2006/relationships/hyperlink" Target="https://drive.google.com/open?id=1ztoqG8ZEZIulWX5fVc40ctkw7_RH_PyE" TargetMode="External" Id="rId7"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TI_2F</t>
        </is>
      </c>
    </row>
    <row r="2" ht="20" customHeight="1">
      <c r="A2" s="2" t="inlineStr">
        <is>
          <t>Semester 3 -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TI_2F diampu oleh 4 mata kuliah terintegrasi PBL: Manajemen Proyek, Desain &amp; Pemrograman Web, Basis Data Lanjut, Sistem Informasi Manajemen.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Manajemen Proyek</t>
        </is>
      </c>
      <c r="B1" s="7" t="n"/>
      <c r="C1" s="7" t="n"/>
      <c r="D1" s="7" t="n"/>
      <c r="E1" s="7" t="n"/>
      <c r="F1" s="7" t="n"/>
      <c r="G1" s="7" t="n"/>
      <c r="H1" s="7" t="n"/>
      <c r="I1" s="7" t="n"/>
      <c r="J1" s="7" t="n"/>
      <c r="K1" s="7" t="n"/>
      <c r="L1" s="7" t="n"/>
      <c r="M1" s="7" t="n"/>
      <c r="N1" s="7" t="n"/>
    </row>
    <row r="2" ht="18" customHeight="1">
      <c r="A2" s="2" t="inlineStr">
        <is>
          <t>Kelas TI_2F - Dosen Pengampu: Titis Octary Satrio, S.ST., M.MT.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7</t>
        </is>
      </c>
      <c r="C7" s="14" t="inlineStr">
        <is>
          <t>Salsabila Widyadhana</t>
        </is>
      </c>
      <c r="D7" s="15" t="inlineStr">
        <is>
          <t>Salsabila Widyadhana (254107020200)
Calvin Ardiansyah (254107020214)
Ghafin Fitrah Ramadhan (254107020170)
Galih Maula Mumtaza (254107020095)</t>
        </is>
      </c>
      <c r="E7" s="4" t="inlineStr">
        <is>
          <t>SIPEKA</t>
        </is>
      </c>
      <c r="F7" s="16" t="n"/>
      <c r="G7" s="16" t="n"/>
      <c r="H7" s="16" t="n"/>
      <c r="I7" s="16" t="n"/>
      <c r="J7" s="16" t="n"/>
      <c r="K7" s="16" t="n"/>
      <c r="L7" s="11">
        <f>IF(COUNT(F7:K7)&lt;6,"",SUMPRODUCT(F7:K7,$F$6:$K$6)/SUM($F$6:$K$6)/5*100)</f>
        <v/>
      </c>
      <c r="M7" s="15" t="n"/>
      <c r="N7" s="17" t="inlineStr">
        <is>
          <t>Buka tautan Drive</t>
        </is>
      </c>
    </row>
    <row r="8">
      <c r="A8" s="9" t="n">
        <v>2</v>
      </c>
      <c r="B8" s="14" t="inlineStr">
        <is>
          <t>Kelompok 5</t>
        </is>
      </c>
      <c r="C8" s="14" t="inlineStr">
        <is>
          <t>Daffa Ramadhan</t>
        </is>
      </c>
      <c r="D8" s="15" t="inlineStr">
        <is>
          <t>Daffa Ramadhan (254107020033)
Muhamad Rizky Hamdani (254107020027)
Fafiq Lutfi Azana (254107020058)
Muhammad Akbar Raffi P.S (254107020237)</t>
        </is>
      </c>
      <c r="E8" s="4" t="inlineStr">
        <is>
          <t>SIPOLI - sistem informasi poliklinik</t>
        </is>
      </c>
      <c r="F8" s="16" t="n"/>
      <c r="G8" s="16" t="n"/>
      <c r="H8" s="16" t="n"/>
      <c r="I8" s="16" t="n"/>
      <c r="J8" s="16" t="n"/>
      <c r="K8" s="16" t="n"/>
      <c r="L8" s="11">
        <f>IF(COUNT(F8:K8)&lt;6,"",SUMPRODUCT(F8:K8,$F$6:$K$6)/SUM($F$6:$K$6)/5*100)</f>
        <v/>
      </c>
      <c r="M8" s="15" t="n"/>
      <c r="N8" s="17" t="inlineStr">
        <is>
          <t>Buka tautan Drive</t>
        </is>
      </c>
    </row>
    <row r="9">
      <c r="A9" s="9" t="n">
        <v>3</v>
      </c>
      <c r="B9" s="14" t="inlineStr">
        <is>
          <t>RoomSync</t>
        </is>
      </c>
      <c r="C9" s="14" t="inlineStr">
        <is>
          <t>Jovita Maharani</t>
        </is>
      </c>
      <c r="D9" s="15" t="inlineStr">
        <is>
          <t>Ketua: Jovita Maharani</t>
        </is>
      </c>
      <c r="E9" s="4" t="inlineStr">
        <is>
          <t>Sistem Informasi Ketersediaan dan Alokasi Ruang Berbasis QR Code</t>
        </is>
      </c>
      <c r="F9" s="16" t="n"/>
      <c r="G9" s="16" t="n"/>
      <c r="H9" s="16" t="n"/>
      <c r="I9" s="16" t="n"/>
      <c r="J9" s="16" t="n"/>
      <c r="K9" s="16" t="n"/>
      <c r="L9" s="11">
        <f>IF(COUNT(F9:K9)&lt;6,"",SUMPRODUCT(F9:K9,$F$6:$K$6)/SUM($F$6:$K$6)/5*100)</f>
        <v/>
      </c>
      <c r="M9" s="15" t="n"/>
      <c r="N9" s="17" t="inlineStr">
        <is>
          <t>Buka tautan Drive</t>
        </is>
      </c>
    </row>
    <row r="10">
      <c r="A10" s="9" t="n">
        <v>4</v>
      </c>
      <c r="B10" s="14" t="inlineStr">
        <is>
          <t>ByteBrokers</t>
        </is>
      </c>
      <c r="C10" s="14" t="inlineStr">
        <is>
          <t>Jonathan Emmanuel Kristanto</t>
        </is>
      </c>
      <c r="D10" s="15" t="inlineStr">
        <is>
          <t>Ketua: Jonathan Emmanuel Kristanto</t>
        </is>
      </c>
      <c r="E10" s="4" t="inlineStr">
        <is>
          <t>IndoFX: Platform Marketplace Aset Unity CG dan VFX untuk Game Developer Indonesia</t>
        </is>
      </c>
      <c r="F10" s="16" t="n"/>
      <c r="G10" s="16" t="n"/>
      <c r="H10" s="16" t="n"/>
      <c r="I10" s="16" t="n"/>
      <c r="J10" s="16" t="n"/>
      <c r="K10" s="16" t="n"/>
      <c r="L10" s="11">
        <f>IF(COUNT(F10:K10)&lt;6,"",SUMPRODUCT(F10:K10,$F$6:$K$6)/SUM($F$6:$K$6)/5*100)</f>
        <v/>
      </c>
      <c r="M10" s="15" t="n"/>
      <c r="N10" s="17" t="inlineStr">
        <is>
          <t>Buka tautan Drive</t>
        </is>
      </c>
    </row>
    <row r="11">
      <c r="A11" s="9" t="n">
        <v>5</v>
      </c>
      <c r="B11" s="14" t="inlineStr">
        <is>
          <t>Bytebound</t>
        </is>
      </c>
      <c r="C11" s="14" t="inlineStr">
        <is>
          <t>Ayu Warda</t>
        </is>
      </c>
      <c r="D11" s="15" t="inlineStr">
        <is>
          <t>Ayu Wardatul Jannah (254107020197)
Farhan Ramadhana Barus (254107020005)
Faisal Rizky (254107020224)
Syeril Azalea Rivera (254107020045)
Almuzzammil Yusuf Favian H (254107020115)</t>
        </is>
      </c>
      <c r="E11" s="4" t="inlineStr">
        <is>
          <t>Go Kantin</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Kelompok 3</t>
        </is>
      </c>
      <c r="C12" s="14" t="inlineStr">
        <is>
          <t>Aryakavi Raditya Imaran</t>
        </is>
      </c>
      <c r="D12" s="15" t="inlineStr">
        <is>
          <t>Ketua: Aryakavi Raditya Imaran</t>
        </is>
      </c>
      <c r="E12" s="4" t="inlineStr">
        <is>
          <t>EventIn</t>
        </is>
      </c>
      <c r="F12" s="16" t="n"/>
      <c r="G12" s="16" t="n"/>
      <c r="H12" s="16" t="n"/>
      <c r="I12" s="16" t="n"/>
      <c r="J12" s="16" t="n"/>
      <c r="K12" s="16" t="n"/>
      <c r="L12" s="11">
        <f>IF(COUNT(F12:K12)&lt;6,"",SUMPRODUCT(F12:K12,$F$6:$K$6)/SUM($F$6:$K$6)/5*100)</f>
        <v/>
      </c>
      <c r="M12" s="15" t="n"/>
      <c r="N12" s="17" t="inlineStr">
        <is>
          <t>Buka tautan Drive</t>
        </is>
      </c>
    </row>
    <row r="13">
      <c r="A13" s="9" t="n">
        <v>7</v>
      </c>
      <c r="B13" s="14" t="inlineStr">
        <is>
          <t>Tim apa aja</t>
        </is>
      </c>
      <c r="C13" s="14" t="inlineStr">
        <is>
          <t>Dafa Ramadhan</t>
        </is>
      </c>
      <c r="D13" s="15" t="inlineStr">
        <is>
          <t>Daffa Ramadhan (254107020033)
Muhamad Rizky Hamdani (254107020027)
Fafiq Lutfi Azana (254107020058)
Muhammad Akbar Raffi P.S (254107020237)</t>
        </is>
      </c>
      <c r="E13" s="4" t="inlineStr">
        <is>
          <t>SIPOLI: Sistem Informasi Manajemen Poliklinik Politeknik Negeri Malang</t>
        </is>
      </c>
      <c r="F13" s="16" t="n"/>
      <c r="G13" s="16" t="n"/>
      <c r="H13" s="16" t="n"/>
      <c r="I13" s="16" t="n"/>
      <c r="J13" s="16" t="n"/>
      <c r="K13" s="16" t="n"/>
      <c r="L13" s="11">
        <f>IF(COUNT(F13:K13)&lt;6,"",SUMPRODUCT(F13:K13,$F$6:$K$6)/SUM($F$6:$K$6)/5*100)</f>
        <v/>
      </c>
      <c r="M13" s="15" t="n"/>
      <c r="N13" s="17" t="inlineStr">
        <is>
          <t>Buka tautan Drive</t>
        </is>
      </c>
    </row>
  </sheetData>
  <mergeCells count="3">
    <mergeCell ref="A4:N4"/>
    <mergeCell ref="A2:N2"/>
    <mergeCell ref="A1:N1"/>
  </mergeCells>
  <dataValidations count="1">
    <dataValidation sqref="F7 F8 F9 F10 F11 F12 F13 G7 G8 G9 G10 G11 G12 G13 H7 H8 H9 H10 H11 H12 H13 I7 I8 I9 I10 I11 I12 I13 J7 J8 J9 J10 J11 J12 J13 K7 K8 K9 K10 K11 K12 K13"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Desain &amp; Pemrograman Web</t>
        </is>
      </c>
      <c r="B1" s="7" t="n"/>
      <c r="C1" s="7" t="n"/>
      <c r="D1" s="7" t="n"/>
      <c r="E1" s="7" t="n"/>
      <c r="F1" s="7" t="n"/>
      <c r="G1" s="7" t="n"/>
      <c r="H1" s="7" t="n"/>
      <c r="I1" s="7" t="n"/>
      <c r="J1" s="7" t="n"/>
      <c r="K1" s="7" t="n"/>
      <c r="L1" s="7" t="n"/>
      <c r="M1" s="7" t="n"/>
      <c r="N1" s="7" t="n"/>
    </row>
    <row r="2" ht="18" customHeight="1">
      <c r="A2" s="2" t="inlineStr">
        <is>
          <t>Kelas TI_2F - Dosen Pengampu: Dimas Wahyu Wibowo, ST.,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7</t>
        </is>
      </c>
      <c r="C7" s="14" t="inlineStr">
        <is>
          <t>Salsabila Widyadhana</t>
        </is>
      </c>
      <c r="D7" s="15" t="inlineStr">
        <is>
          <t>Salsabila Widyadhana (254107020200)
Calvin Ardiansyah (254107020214)
Ghafin Fitrah Ramadhan (254107020170)
Galih Maula Mumtaza (254107020095)</t>
        </is>
      </c>
      <c r="E7" s="4" t="inlineStr">
        <is>
          <t>SIPEKA</t>
        </is>
      </c>
      <c r="F7" s="16" t="n"/>
      <c r="G7" s="16" t="n"/>
      <c r="H7" s="16" t="n"/>
      <c r="I7" s="16" t="n"/>
      <c r="J7" s="16" t="n"/>
      <c r="K7" s="16" t="n"/>
      <c r="L7" s="11">
        <f>IF(COUNT(F7:K7)&lt;6,"",SUMPRODUCT(F7:K7,$F$6:$K$6)/SUM($F$6:$K$6)/5*100)</f>
        <v/>
      </c>
      <c r="M7" s="15" t="n"/>
      <c r="N7" s="17" t="inlineStr">
        <is>
          <t>Buka tautan Drive</t>
        </is>
      </c>
    </row>
    <row r="8">
      <c r="A8" s="9" t="n">
        <v>2</v>
      </c>
      <c r="B8" s="14" t="inlineStr">
        <is>
          <t>Kelompok 5</t>
        </is>
      </c>
      <c r="C8" s="14" t="inlineStr">
        <is>
          <t>Daffa Ramadhan</t>
        </is>
      </c>
      <c r="D8" s="15" t="inlineStr">
        <is>
          <t>Daffa Ramadhan (254107020033)
Muhamad Rizky Hamdani (254107020027)
Fafiq Lutfi Azana (254107020058)
Muhammad Akbar Raffi P.S (254107020237)</t>
        </is>
      </c>
      <c r="E8" s="4" t="inlineStr">
        <is>
          <t>SIPOLI - sistem informasi poliklinik</t>
        </is>
      </c>
      <c r="F8" s="16" t="n"/>
      <c r="G8" s="16" t="n"/>
      <c r="H8" s="16" t="n"/>
      <c r="I8" s="16" t="n"/>
      <c r="J8" s="16" t="n"/>
      <c r="K8" s="16" t="n"/>
      <c r="L8" s="11">
        <f>IF(COUNT(F8:K8)&lt;6,"",SUMPRODUCT(F8:K8,$F$6:$K$6)/SUM($F$6:$K$6)/5*100)</f>
        <v/>
      </c>
      <c r="M8" s="15" t="n"/>
      <c r="N8" s="17" t="inlineStr">
        <is>
          <t>Buka tautan Drive</t>
        </is>
      </c>
    </row>
    <row r="9">
      <c r="A9" s="9" t="n">
        <v>3</v>
      </c>
      <c r="B9" s="14" t="inlineStr">
        <is>
          <t>RoomSync</t>
        </is>
      </c>
      <c r="C9" s="14" t="inlineStr">
        <is>
          <t>Jovita Maharani</t>
        </is>
      </c>
      <c r="D9" s="15" t="inlineStr">
        <is>
          <t>Ketua: Jovita Maharani</t>
        </is>
      </c>
      <c r="E9" s="4" t="inlineStr">
        <is>
          <t>Sistem Informasi Ketersediaan dan Alokasi Ruang Berbasis QR Code</t>
        </is>
      </c>
      <c r="F9" s="16" t="n"/>
      <c r="G9" s="16" t="n"/>
      <c r="H9" s="16" t="n"/>
      <c r="I9" s="16" t="n"/>
      <c r="J9" s="16" t="n"/>
      <c r="K9" s="16" t="n"/>
      <c r="L9" s="11">
        <f>IF(COUNT(F9:K9)&lt;6,"",SUMPRODUCT(F9:K9,$F$6:$K$6)/SUM($F$6:$K$6)/5*100)</f>
        <v/>
      </c>
      <c r="M9" s="15" t="n"/>
      <c r="N9" s="17" t="inlineStr">
        <is>
          <t>Buka tautan Drive</t>
        </is>
      </c>
    </row>
    <row r="10">
      <c r="A10" s="9" t="n">
        <v>4</v>
      </c>
      <c r="B10" s="14" t="inlineStr">
        <is>
          <t>ByteBrokers</t>
        </is>
      </c>
      <c r="C10" s="14" t="inlineStr">
        <is>
          <t>Jonathan Emmanuel Kristanto</t>
        </is>
      </c>
      <c r="D10" s="15" t="inlineStr">
        <is>
          <t>Ketua: Jonathan Emmanuel Kristanto</t>
        </is>
      </c>
      <c r="E10" s="4" t="inlineStr">
        <is>
          <t>IndoFX: Platform Marketplace Aset Unity CG dan VFX untuk Game Developer Indonesia</t>
        </is>
      </c>
      <c r="F10" s="16" t="n"/>
      <c r="G10" s="16" t="n"/>
      <c r="H10" s="16" t="n"/>
      <c r="I10" s="16" t="n"/>
      <c r="J10" s="16" t="n"/>
      <c r="K10" s="16" t="n"/>
      <c r="L10" s="11">
        <f>IF(COUNT(F10:K10)&lt;6,"",SUMPRODUCT(F10:K10,$F$6:$K$6)/SUM($F$6:$K$6)/5*100)</f>
        <v/>
      </c>
      <c r="M10" s="15" t="n"/>
      <c r="N10" s="17" t="inlineStr">
        <is>
          <t>Buka tautan Drive</t>
        </is>
      </c>
    </row>
    <row r="11">
      <c r="A11" s="9" t="n">
        <v>5</v>
      </c>
      <c r="B11" s="14" t="inlineStr">
        <is>
          <t>Bytebound</t>
        </is>
      </c>
      <c r="C11" s="14" t="inlineStr">
        <is>
          <t>Ayu Warda</t>
        </is>
      </c>
      <c r="D11" s="15" t="inlineStr">
        <is>
          <t>Ayu Wardatul Jannah (254107020197)
Farhan Ramadhana Barus (254107020005)
Faisal Rizky (254107020224)
Syeril Azalea Rivera (254107020045)
Almuzzammil Yusuf Favian H (254107020115)</t>
        </is>
      </c>
      <c r="E11" s="4" t="inlineStr">
        <is>
          <t>Go Kantin</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Kelompok 3</t>
        </is>
      </c>
      <c r="C12" s="14" t="inlineStr">
        <is>
          <t>Aryakavi Raditya Imaran</t>
        </is>
      </c>
      <c r="D12" s="15" t="inlineStr">
        <is>
          <t>Ketua: Aryakavi Raditya Imaran</t>
        </is>
      </c>
      <c r="E12" s="4" t="inlineStr">
        <is>
          <t>EventIn</t>
        </is>
      </c>
      <c r="F12" s="16" t="n"/>
      <c r="G12" s="16" t="n"/>
      <c r="H12" s="16" t="n"/>
      <c r="I12" s="16" t="n"/>
      <c r="J12" s="16" t="n"/>
      <c r="K12" s="16" t="n"/>
      <c r="L12" s="11">
        <f>IF(COUNT(F12:K12)&lt;6,"",SUMPRODUCT(F12:K12,$F$6:$K$6)/SUM($F$6:$K$6)/5*100)</f>
        <v/>
      </c>
      <c r="M12" s="15" t="n"/>
      <c r="N12" s="17" t="inlineStr">
        <is>
          <t>Buka tautan Drive</t>
        </is>
      </c>
    </row>
    <row r="13">
      <c r="A13" s="9" t="n">
        <v>7</v>
      </c>
      <c r="B13" s="14" t="inlineStr">
        <is>
          <t>Tim apa aja</t>
        </is>
      </c>
      <c r="C13" s="14" t="inlineStr">
        <is>
          <t>Dafa Ramadhan</t>
        </is>
      </c>
      <c r="D13" s="15" t="inlineStr">
        <is>
          <t>Daffa Ramadhan (254107020033)
Muhamad Rizky Hamdani (254107020027)
Fafiq Lutfi Azana (254107020058)
Muhammad Akbar Raffi P.S (254107020237)</t>
        </is>
      </c>
      <c r="E13" s="4" t="inlineStr">
        <is>
          <t>SIPOLI: Sistem Informasi Manajemen Poliklinik Politeknik Negeri Malang</t>
        </is>
      </c>
      <c r="F13" s="16" t="n"/>
      <c r="G13" s="16" t="n"/>
      <c r="H13" s="16" t="n"/>
      <c r="I13" s="16" t="n"/>
      <c r="J13" s="16" t="n"/>
      <c r="K13" s="16" t="n"/>
      <c r="L13" s="11">
        <f>IF(COUNT(F13:K13)&lt;6,"",SUMPRODUCT(F13:K13,$F$6:$K$6)/SUM($F$6:$K$6)/5*100)</f>
        <v/>
      </c>
      <c r="M13" s="15" t="n"/>
      <c r="N13" s="17" t="inlineStr">
        <is>
          <t>Buka tautan Drive</t>
        </is>
      </c>
    </row>
  </sheetData>
  <mergeCells count="3">
    <mergeCell ref="A4:N4"/>
    <mergeCell ref="A2:N2"/>
    <mergeCell ref="A1:N1"/>
  </mergeCells>
  <dataValidations count="1">
    <dataValidation sqref="F7 F8 F9 F10 F11 F12 F13 G7 G8 G9 G10 G11 G12 G13 H7 H8 H9 H10 H11 H12 H13 I7 I8 I9 I10 I11 I12 I13 J7 J8 J9 J10 J11 J12 J13 K7 K8 K9 K10 K11 K12 K13"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Basis Data Lanjut</t>
        </is>
      </c>
      <c r="B1" s="7" t="n"/>
      <c r="C1" s="7" t="n"/>
      <c r="D1" s="7" t="n"/>
      <c r="E1" s="7" t="n"/>
      <c r="F1" s="7" t="n"/>
      <c r="G1" s="7" t="n"/>
      <c r="H1" s="7" t="n"/>
      <c r="I1" s="7" t="n"/>
      <c r="J1" s="7" t="n"/>
      <c r="K1" s="7" t="n"/>
      <c r="L1" s="7" t="n"/>
      <c r="M1" s="7" t="n"/>
      <c r="N1" s="7" t="n"/>
    </row>
    <row r="2" ht="18" customHeight="1">
      <c r="A2" s="2" t="inlineStr">
        <is>
          <t>Kelas TI_2F - Dosen Pengampu: Mustika Mentari, S.Kom., M.Kom.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7</t>
        </is>
      </c>
      <c r="C7" s="14" t="inlineStr">
        <is>
          <t>Salsabila Widyadhana</t>
        </is>
      </c>
      <c r="D7" s="15" t="inlineStr">
        <is>
          <t>Salsabila Widyadhana (254107020200)
Calvin Ardiansyah (254107020214)
Ghafin Fitrah Ramadhan (254107020170)
Galih Maula Mumtaza (254107020095)</t>
        </is>
      </c>
      <c r="E7" s="4" t="inlineStr">
        <is>
          <t>SIPEKA</t>
        </is>
      </c>
      <c r="F7" s="16" t="n"/>
      <c r="G7" s="16" t="n"/>
      <c r="H7" s="16" t="n"/>
      <c r="I7" s="16" t="n"/>
      <c r="J7" s="16" t="n"/>
      <c r="K7" s="16" t="n"/>
      <c r="L7" s="11">
        <f>IF(COUNT(F7:K7)&lt;6,"",SUMPRODUCT(F7:K7,$F$6:$K$6)/SUM($F$6:$K$6)/5*100)</f>
        <v/>
      </c>
      <c r="M7" s="15" t="n"/>
      <c r="N7" s="17" t="inlineStr">
        <is>
          <t>Buka tautan Drive</t>
        </is>
      </c>
    </row>
    <row r="8">
      <c r="A8" s="9" t="n">
        <v>2</v>
      </c>
      <c r="B8" s="14" t="inlineStr">
        <is>
          <t>Kelompok 5</t>
        </is>
      </c>
      <c r="C8" s="14" t="inlineStr">
        <is>
          <t>Daffa Ramadhan</t>
        </is>
      </c>
      <c r="D8" s="15" t="inlineStr">
        <is>
          <t>Daffa Ramadhan (254107020033)
Muhamad Rizky Hamdani (254107020027)
Fafiq Lutfi Azana (254107020058)
Muhammad Akbar Raffi P.S (254107020237)</t>
        </is>
      </c>
      <c r="E8" s="4" t="inlineStr">
        <is>
          <t>SIPOLI - sistem informasi poliklinik</t>
        </is>
      </c>
      <c r="F8" s="16" t="n"/>
      <c r="G8" s="16" t="n"/>
      <c r="H8" s="16" t="n"/>
      <c r="I8" s="16" t="n"/>
      <c r="J8" s="16" t="n"/>
      <c r="K8" s="16" t="n"/>
      <c r="L8" s="11">
        <f>IF(COUNT(F8:K8)&lt;6,"",SUMPRODUCT(F8:K8,$F$6:$K$6)/SUM($F$6:$K$6)/5*100)</f>
        <v/>
      </c>
      <c r="M8" s="15" t="n"/>
      <c r="N8" s="17" t="inlineStr">
        <is>
          <t>Buka tautan Drive</t>
        </is>
      </c>
    </row>
    <row r="9">
      <c r="A9" s="9" t="n">
        <v>3</v>
      </c>
      <c r="B9" s="14" t="inlineStr">
        <is>
          <t>RoomSync</t>
        </is>
      </c>
      <c r="C9" s="14" t="inlineStr">
        <is>
          <t>Jovita Maharani</t>
        </is>
      </c>
      <c r="D9" s="15" t="inlineStr">
        <is>
          <t>Ketua: Jovita Maharani</t>
        </is>
      </c>
      <c r="E9" s="4" t="inlineStr">
        <is>
          <t>Sistem Informasi Ketersediaan dan Alokasi Ruang Berbasis QR Code</t>
        </is>
      </c>
      <c r="F9" s="16" t="n"/>
      <c r="G9" s="16" t="n"/>
      <c r="H9" s="16" t="n"/>
      <c r="I9" s="16" t="n"/>
      <c r="J9" s="16" t="n"/>
      <c r="K9" s="16" t="n"/>
      <c r="L9" s="11">
        <f>IF(COUNT(F9:K9)&lt;6,"",SUMPRODUCT(F9:K9,$F$6:$K$6)/SUM($F$6:$K$6)/5*100)</f>
        <v/>
      </c>
      <c r="M9" s="15" t="n"/>
      <c r="N9" s="17" t="inlineStr">
        <is>
          <t>Buka tautan Drive</t>
        </is>
      </c>
    </row>
    <row r="10">
      <c r="A10" s="9" t="n">
        <v>4</v>
      </c>
      <c r="B10" s="14" t="inlineStr">
        <is>
          <t>ByteBrokers</t>
        </is>
      </c>
      <c r="C10" s="14" t="inlineStr">
        <is>
          <t>Jonathan Emmanuel Kristanto</t>
        </is>
      </c>
      <c r="D10" s="15" t="inlineStr">
        <is>
          <t>Ketua: Jonathan Emmanuel Kristanto</t>
        </is>
      </c>
      <c r="E10" s="4" t="inlineStr">
        <is>
          <t>IndoFX: Platform Marketplace Aset Unity CG dan VFX untuk Game Developer Indonesia</t>
        </is>
      </c>
      <c r="F10" s="16" t="n"/>
      <c r="G10" s="16" t="n"/>
      <c r="H10" s="16" t="n"/>
      <c r="I10" s="16" t="n"/>
      <c r="J10" s="16" t="n"/>
      <c r="K10" s="16" t="n"/>
      <c r="L10" s="11">
        <f>IF(COUNT(F10:K10)&lt;6,"",SUMPRODUCT(F10:K10,$F$6:$K$6)/SUM($F$6:$K$6)/5*100)</f>
        <v/>
      </c>
      <c r="M10" s="15" t="n"/>
      <c r="N10" s="17" t="inlineStr">
        <is>
          <t>Buka tautan Drive</t>
        </is>
      </c>
    </row>
    <row r="11">
      <c r="A11" s="9" t="n">
        <v>5</v>
      </c>
      <c r="B11" s="14" t="inlineStr">
        <is>
          <t>Bytebound</t>
        </is>
      </c>
      <c r="C11" s="14" t="inlineStr">
        <is>
          <t>Ayu Warda</t>
        </is>
      </c>
      <c r="D11" s="15" t="inlineStr">
        <is>
          <t>Ayu Wardatul Jannah (254107020197)
Farhan Ramadhana Barus (254107020005)
Faisal Rizky (254107020224)
Syeril Azalea Rivera (254107020045)
Almuzzammil Yusuf Favian H (254107020115)</t>
        </is>
      </c>
      <c r="E11" s="4" t="inlineStr">
        <is>
          <t>Go Kantin</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Kelompok 3</t>
        </is>
      </c>
      <c r="C12" s="14" t="inlineStr">
        <is>
          <t>Aryakavi Raditya Imaran</t>
        </is>
      </c>
      <c r="D12" s="15" t="inlineStr">
        <is>
          <t>Ketua: Aryakavi Raditya Imaran</t>
        </is>
      </c>
      <c r="E12" s="4" t="inlineStr">
        <is>
          <t>EventIn</t>
        </is>
      </c>
      <c r="F12" s="16" t="n"/>
      <c r="G12" s="16" t="n"/>
      <c r="H12" s="16" t="n"/>
      <c r="I12" s="16" t="n"/>
      <c r="J12" s="16" t="n"/>
      <c r="K12" s="16" t="n"/>
      <c r="L12" s="11">
        <f>IF(COUNT(F12:K12)&lt;6,"",SUMPRODUCT(F12:K12,$F$6:$K$6)/SUM($F$6:$K$6)/5*100)</f>
        <v/>
      </c>
      <c r="M12" s="15" t="n"/>
      <c r="N12" s="17" t="inlineStr">
        <is>
          <t>Buka tautan Drive</t>
        </is>
      </c>
    </row>
    <row r="13">
      <c r="A13" s="9" t="n">
        <v>7</v>
      </c>
      <c r="B13" s="14" t="inlineStr">
        <is>
          <t>Tim apa aja</t>
        </is>
      </c>
      <c r="C13" s="14" t="inlineStr">
        <is>
          <t>Dafa Ramadhan</t>
        </is>
      </c>
      <c r="D13" s="15" t="inlineStr">
        <is>
          <t>Daffa Ramadhan (254107020033)
Muhamad Rizky Hamdani (254107020027)
Fafiq Lutfi Azana (254107020058)
Muhammad Akbar Raffi P.S (254107020237)</t>
        </is>
      </c>
      <c r="E13" s="4" t="inlineStr">
        <is>
          <t>SIPOLI: Sistem Informasi Manajemen Poliklinik Politeknik Negeri Malang</t>
        </is>
      </c>
      <c r="F13" s="16" t="n"/>
      <c r="G13" s="16" t="n"/>
      <c r="H13" s="16" t="n"/>
      <c r="I13" s="16" t="n"/>
      <c r="J13" s="16" t="n"/>
      <c r="K13" s="16" t="n"/>
      <c r="L13" s="11">
        <f>IF(COUNT(F13:K13)&lt;6,"",SUMPRODUCT(F13:K13,$F$6:$K$6)/SUM($F$6:$K$6)/5*100)</f>
        <v/>
      </c>
      <c r="M13" s="15" t="n"/>
      <c r="N13" s="17" t="inlineStr">
        <is>
          <t>Buka tautan Drive</t>
        </is>
      </c>
    </row>
  </sheetData>
  <mergeCells count="3">
    <mergeCell ref="A4:N4"/>
    <mergeCell ref="A2:N2"/>
    <mergeCell ref="A1:N1"/>
  </mergeCells>
  <dataValidations count="1">
    <dataValidation sqref="F7 F8 F9 F10 F11 F12 F13 G7 G8 G9 G10 G11 G12 G13 H7 H8 H9 H10 H11 H12 H13 I7 I8 I9 I10 I11 I12 I13 J7 J8 J9 J10 J11 J12 J13 K7 K8 K9 K10 K11 K12 K13"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Sistem Informasi Manajemen</t>
        </is>
      </c>
      <c r="B1" s="7" t="n"/>
      <c r="C1" s="7" t="n"/>
      <c r="D1" s="7" t="n"/>
      <c r="E1" s="7" t="n"/>
      <c r="F1" s="7" t="n"/>
      <c r="G1" s="7" t="n"/>
      <c r="H1" s="7" t="n"/>
      <c r="I1" s="7" t="n"/>
      <c r="J1" s="7" t="n"/>
      <c r="K1" s="7" t="n"/>
      <c r="L1" s="7" t="n"/>
      <c r="M1" s="7" t="n"/>
      <c r="N1" s="7" t="n"/>
    </row>
    <row r="2" ht="18" customHeight="1">
      <c r="A2" s="2" t="inlineStr">
        <is>
          <t>Kelas TI_2F - Dosen Pengampu: Budi Harijanto, ST., M.MKom.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7</t>
        </is>
      </c>
      <c r="C7" s="14" t="inlineStr">
        <is>
          <t>Salsabila Widyadhana</t>
        </is>
      </c>
      <c r="D7" s="15" t="inlineStr">
        <is>
          <t>Salsabila Widyadhana (254107020200)
Calvin Ardiansyah (254107020214)
Ghafin Fitrah Ramadhan (254107020170)
Galih Maula Mumtaza (254107020095)</t>
        </is>
      </c>
      <c r="E7" s="4" t="inlineStr">
        <is>
          <t>SIPEKA</t>
        </is>
      </c>
      <c r="F7" s="16" t="n"/>
      <c r="G7" s="16" t="n"/>
      <c r="H7" s="16" t="n"/>
      <c r="I7" s="16" t="n"/>
      <c r="J7" s="16" t="n"/>
      <c r="K7" s="16" t="n"/>
      <c r="L7" s="11">
        <f>IF(COUNT(F7:K7)&lt;6,"",SUMPRODUCT(F7:K7,$F$6:$K$6)/SUM($F$6:$K$6)/5*100)</f>
        <v/>
      </c>
      <c r="M7" s="15" t="n"/>
      <c r="N7" s="17" t="inlineStr">
        <is>
          <t>Buka tautan Drive</t>
        </is>
      </c>
    </row>
    <row r="8">
      <c r="A8" s="9" t="n">
        <v>2</v>
      </c>
      <c r="B8" s="14" t="inlineStr">
        <is>
          <t>Kelompok 5</t>
        </is>
      </c>
      <c r="C8" s="14" t="inlineStr">
        <is>
          <t>Daffa Ramadhan</t>
        </is>
      </c>
      <c r="D8" s="15" t="inlineStr">
        <is>
          <t>Daffa Ramadhan (254107020033)
Muhamad Rizky Hamdani (254107020027)
Fafiq Lutfi Azana (254107020058)
Muhammad Akbar Raffi P.S (254107020237)</t>
        </is>
      </c>
      <c r="E8" s="4" t="inlineStr">
        <is>
          <t>SIPOLI - sistem informasi poliklinik</t>
        </is>
      </c>
      <c r="F8" s="16" t="n"/>
      <c r="G8" s="16" t="n"/>
      <c r="H8" s="16" t="n"/>
      <c r="I8" s="16" t="n"/>
      <c r="J8" s="16" t="n"/>
      <c r="K8" s="16" t="n"/>
      <c r="L8" s="11">
        <f>IF(COUNT(F8:K8)&lt;6,"",SUMPRODUCT(F8:K8,$F$6:$K$6)/SUM($F$6:$K$6)/5*100)</f>
        <v/>
      </c>
      <c r="M8" s="15" t="n"/>
      <c r="N8" s="17" t="inlineStr">
        <is>
          <t>Buka tautan Drive</t>
        </is>
      </c>
    </row>
    <row r="9">
      <c r="A9" s="9" t="n">
        <v>3</v>
      </c>
      <c r="B9" s="14" t="inlineStr">
        <is>
          <t>RoomSync</t>
        </is>
      </c>
      <c r="C9" s="14" t="inlineStr">
        <is>
          <t>Jovita Maharani</t>
        </is>
      </c>
      <c r="D9" s="15" t="inlineStr">
        <is>
          <t>Ketua: Jovita Maharani</t>
        </is>
      </c>
      <c r="E9" s="4" t="inlineStr">
        <is>
          <t>Sistem Informasi Ketersediaan dan Alokasi Ruang Berbasis QR Code</t>
        </is>
      </c>
      <c r="F9" s="16" t="n"/>
      <c r="G9" s="16" t="n"/>
      <c r="H9" s="16" t="n"/>
      <c r="I9" s="16" t="n"/>
      <c r="J9" s="16" t="n"/>
      <c r="K9" s="16" t="n"/>
      <c r="L9" s="11">
        <f>IF(COUNT(F9:K9)&lt;6,"",SUMPRODUCT(F9:K9,$F$6:$K$6)/SUM($F$6:$K$6)/5*100)</f>
        <v/>
      </c>
      <c r="M9" s="15" t="n"/>
      <c r="N9" s="17" t="inlineStr">
        <is>
          <t>Buka tautan Drive</t>
        </is>
      </c>
    </row>
    <row r="10">
      <c r="A10" s="9" t="n">
        <v>4</v>
      </c>
      <c r="B10" s="14" t="inlineStr">
        <is>
          <t>ByteBrokers</t>
        </is>
      </c>
      <c r="C10" s="14" t="inlineStr">
        <is>
          <t>Jonathan Emmanuel Kristanto</t>
        </is>
      </c>
      <c r="D10" s="15" t="inlineStr">
        <is>
          <t>Ketua: Jonathan Emmanuel Kristanto</t>
        </is>
      </c>
      <c r="E10" s="4" t="inlineStr">
        <is>
          <t>IndoFX: Platform Marketplace Aset Unity CG dan VFX untuk Game Developer Indonesia</t>
        </is>
      </c>
      <c r="F10" s="16" t="n"/>
      <c r="G10" s="16" t="n"/>
      <c r="H10" s="16" t="n"/>
      <c r="I10" s="16" t="n"/>
      <c r="J10" s="16" t="n"/>
      <c r="K10" s="16" t="n"/>
      <c r="L10" s="11">
        <f>IF(COUNT(F10:K10)&lt;6,"",SUMPRODUCT(F10:K10,$F$6:$K$6)/SUM($F$6:$K$6)/5*100)</f>
        <v/>
      </c>
      <c r="M10" s="15" t="n"/>
      <c r="N10" s="17" t="inlineStr">
        <is>
          <t>Buka tautan Drive</t>
        </is>
      </c>
    </row>
    <row r="11">
      <c r="A11" s="9" t="n">
        <v>5</v>
      </c>
      <c r="B11" s="14" t="inlineStr">
        <is>
          <t>Bytebound</t>
        </is>
      </c>
      <c r="C11" s="14" t="inlineStr">
        <is>
          <t>Ayu Warda</t>
        </is>
      </c>
      <c r="D11" s="15" t="inlineStr">
        <is>
          <t>Ayu Wardatul Jannah (254107020197)
Farhan Ramadhana Barus (254107020005)
Faisal Rizky (254107020224)
Syeril Azalea Rivera (254107020045)
Almuzzammil Yusuf Favian H (254107020115)</t>
        </is>
      </c>
      <c r="E11" s="4" t="inlineStr">
        <is>
          <t>Go Kantin</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Kelompok 3</t>
        </is>
      </c>
      <c r="C12" s="14" t="inlineStr">
        <is>
          <t>Aryakavi Raditya Imaran</t>
        </is>
      </c>
      <c r="D12" s="15" t="inlineStr">
        <is>
          <t>Ketua: Aryakavi Raditya Imaran</t>
        </is>
      </c>
      <c r="E12" s="4" t="inlineStr">
        <is>
          <t>EventIn</t>
        </is>
      </c>
      <c r="F12" s="16" t="n"/>
      <c r="G12" s="16" t="n"/>
      <c r="H12" s="16" t="n"/>
      <c r="I12" s="16" t="n"/>
      <c r="J12" s="16" t="n"/>
      <c r="K12" s="16" t="n"/>
      <c r="L12" s="11">
        <f>IF(COUNT(F12:K12)&lt;6,"",SUMPRODUCT(F12:K12,$F$6:$K$6)/SUM($F$6:$K$6)/5*100)</f>
        <v/>
      </c>
      <c r="M12" s="15" t="n"/>
      <c r="N12" s="17" t="inlineStr">
        <is>
          <t>Buka tautan Drive</t>
        </is>
      </c>
    </row>
    <row r="13">
      <c r="A13" s="9" t="n">
        <v>7</v>
      </c>
      <c r="B13" s="14" t="inlineStr">
        <is>
          <t>Tim apa aja</t>
        </is>
      </c>
      <c r="C13" s="14" t="inlineStr">
        <is>
          <t>Dafa Ramadhan</t>
        </is>
      </c>
      <c r="D13" s="15" t="inlineStr">
        <is>
          <t>Daffa Ramadhan (254107020033)
Muhamad Rizky Hamdani (254107020027)
Fafiq Lutfi Azana (254107020058)
Muhammad Akbar Raffi P.S (254107020237)</t>
        </is>
      </c>
      <c r="E13" s="4" t="inlineStr">
        <is>
          <t>SIPOLI: Sistem Informasi Manajemen Poliklinik Politeknik Negeri Malang</t>
        </is>
      </c>
      <c r="F13" s="16" t="n"/>
      <c r="G13" s="16" t="n"/>
      <c r="H13" s="16" t="n"/>
      <c r="I13" s="16" t="n"/>
      <c r="J13" s="16" t="n"/>
      <c r="K13" s="16" t="n"/>
      <c r="L13" s="11">
        <f>IF(COUNT(F13:K13)&lt;6,"",SUMPRODUCT(F13:K13,$F$6:$K$6)/SUM($F$6:$K$6)/5*100)</f>
        <v/>
      </c>
      <c r="M13" s="15" t="n"/>
      <c r="N13" s="17" t="inlineStr">
        <is>
          <t>Buka tautan Drive</t>
        </is>
      </c>
    </row>
  </sheetData>
  <mergeCells count="3">
    <mergeCell ref="A4:N4"/>
    <mergeCell ref="A2:N2"/>
    <mergeCell ref="A1:N1"/>
  </mergeCells>
  <dataValidations count="1">
    <dataValidation sqref="F7 F8 F9 F10 F11 F12 F13 G7 G8 G9 G10 G11 G12 G13 H7 H8 H9 H10 H11 H12 H13 I7 I8 I9 I10 I11 I12 I13 J7 J8 J9 J10 J11 J12 J13 K7 K8 K9 K10 K11 K12 K13"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2" customWidth="1" min="12" max="12"/>
    <col width="26" customWidth="1" min="13" max="13"/>
    <col width="14" customWidth="1" min="14" max="14"/>
    <col width="24" customWidth="1" min="15" max="15"/>
  </cols>
  <sheetData>
    <row r="1" ht="26" customHeight="1">
      <c r="A1" s="1" t="inlineStr">
        <is>
          <t>Rekap Nilai Proposal - Kelas TI_2F (Semua Dosen)</t>
        </is>
      </c>
      <c r="B1" s="7" t="n"/>
      <c r="C1" s="7" t="n"/>
      <c r="D1" s="7" t="n"/>
      <c r="E1" s="7" t="n"/>
      <c r="F1" s="7" t="n"/>
      <c r="G1" s="7" t="n"/>
      <c r="H1" s="7" t="n"/>
      <c r="I1" s="7" t="n"/>
      <c r="J1" s="7" t="n"/>
      <c r="K1" s="7" t="n"/>
      <c r="L1" s="7" t="n"/>
      <c r="M1" s="7" t="n"/>
      <c r="N1" s="7" t="n"/>
      <c r="O1" s="7" t="n"/>
    </row>
    <row r="2" ht="18" customHeight="1">
      <c r="A2" s="2" t="inlineStr">
        <is>
          <t>Semester 3 - Checkpoint Proposal</t>
        </is>
      </c>
      <c r="B2" s="7" t="n"/>
      <c r="C2" s="7" t="n"/>
      <c r="D2" s="7" t="n"/>
      <c r="E2" s="7" t="n"/>
      <c r="F2" s="7" t="n"/>
      <c r="G2" s="7" t="n"/>
      <c r="H2" s="7" t="n"/>
      <c r="I2" s="7" t="n"/>
      <c r="J2" s="7" t="n"/>
      <c r="K2" s="7" t="n"/>
      <c r="L2" s="7" t="n"/>
      <c r="M2" s="7" t="n"/>
      <c r="N2" s="7" t="n"/>
      <c r="O2" s="7" t="n"/>
    </row>
    <row r="4" ht="42" customHeight="1">
      <c r="A4" s="8" t="inlineStr">
        <is>
          <t>No</t>
        </is>
      </c>
      <c r="B4" s="8" t="inlineStr">
        <is>
          <t>Nama Tim</t>
        </is>
      </c>
      <c r="C4" s="8" t="inlineStr">
        <is>
          <t>Nama Ketua Tim</t>
        </is>
      </c>
      <c r="D4" s="8" t="inlineStr">
        <is>
          <t>Anggota Tim</t>
        </is>
      </c>
      <c r="E4" s="8" t="inlineStr">
        <is>
          <t>Judul Produk</t>
        </is>
      </c>
      <c r="F4" s="8" t="inlineStr">
        <is>
          <t>Nilai - Manajemen Proyek</t>
        </is>
      </c>
      <c r="G4" s="8" t="inlineStr">
        <is>
          <t>Revisi - Manajemen Proyek</t>
        </is>
      </c>
      <c r="H4" s="8" t="inlineStr">
        <is>
          <t>Nilai - Desain &amp; Pemrograman Web</t>
        </is>
      </c>
      <c r="I4" s="8" t="inlineStr">
        <is>
          <t>Revisi - Desain &amp; Pemrograman Web</t>
        </is>
      </c>
      <c r="J4" s="8" t="inlineStr">
        <is>
          <t>Nilai - Basis Data Lanjut</t>
        </is>
      </c>
      <c r="K4" s="8" t="inlineStr">
        <is>
          <t>Revisi - Basis Data Lanjut</t>
        </is>
      </c>
      <c r="L4" s="8" t="inlineStr">
        <is>
          <t>Nilai - Sistem Informasi Manajemen</t>
        </is>
      </c>
      <c r="M4" s="8" t="inlineStr">
        <is>
          <t>Revisi - Sistem Informasi Manajemen</t>
        </is>
      </c>
      <c r="N4" s="8" t="inlineStr">
        <is>
          <t>Nilai Rata-rata</t>
        </is>
      </c>
      <c r="O4" s="8" t="inlineStr">
        <is>
          <t>Berkas Proposal</t>
        </is>
      </c>
    </row>
    <row r="5">
      <c r="A5" s="9" t="n">
        <v>1</v>
      </c>
      <c r="B5" s="14" t="inlineStr">
        <is>
          <t>Kelompok 7</t>
        </is>
      </c>
      <c r="C5" s="14" t="inlineStr">
        <is>
          <t>Salsabila Widyadhana</t>
        </is>
      </c>
      <c r="D5" s="4">
        <f>'Manajemen Proyek'!D7</f>
        <v/>
      </c>
      <c r="E5" s="4" t="inlineStr">
        <is>
          <t>SIPEKA</t>
        </is>
      </c>
      <c r="F5" s="11">
        <f>'Manajemen Proyek'!L7</f>
        <v/>
      </c>
      <c r="G5" s="4">
        <f>'Manajemen Proyek'!M7</f>
        <v/>
      </c>
      <c r="H5" s="11">
        <f>'Desain &amp; Pemrograman Web'!L7</f>
        <v/>
      </c>
      <c r="I5" s="4">
        <f>'Desain &amp; Pemrograman Web'!M7</f>
        <v/>
      </c>
      <c r="J5" s="11">
        <f>'Basis Data Lanjut'!L7</f>
        <v/>
      </c>
      <c r="K5" s="4">
        <f>'Basis Data Lanjut'!M7</f>
        <v/>
      </c>
      <c r="L5" s="11">
        <f>'Sistem Informasi Manajemen'!L7</f>
        <v/>
      </c>
      <c r="M5" s="4">
        <f>'Sistem Informasi Manajemen'!M7</f>
        <v/>
      </c>
      <c r="N5" s="11">
        <f>IFERROR(AVERAGE(F5,H5,J5,L5),"")</f>
        <v/>
      </c>
      <c r="O5" s="17" t="inlineStr">
        <is>
          <t>Buka tautan Drive</t>
        </is>
      </c>
    </row>
    <row r="6">
      <c r="A6" s="9" t="n">
        <v>2</v>
      </c>
      <c r="B6" s="14" t="inlineStr">
        <is>
          <t>Kelompok 5</t>
        </is>
      </c>
      <c r="C6" s="14" t="inlineStr">
        <is>
          <t>Daffa Ramadhan</t>
        </is>
      </c>
      <c r="D6" s="4">
        <f>'Manajemen Proyek'!D8</f>
        <v/>
      </c>
      <c r="E6" s="4" t="inlineStr">
        <is>
          <t>SIPOLI - sistem informasi poliklinik</t>
        </is>
      </c>
      <c r="F6" s="11">
        <f>'Manajemen Proyek'!L8</f>
        <v/>
      </c>
      <c r="G6" s="4">
        <f>'Manajemen Proyek'!M8</f>
        <v/>
      </c>
      <c r="H6" s="11">
        <f>'Desain &amp; Pemrograman Web'!L8</f>
        <v/>
      </c>
      <c r="I6" s="4">
        <f>'Desain &amp; Pemrograman Web'!M8</f>
        <v/>
      </c>
      <c r="J6" s="11">
        <f>'Basis Data Lanjut'!L8</f>
        <v/>
      </c>
      <c r="K6" s="4">
        <f>'Basis Data Lanjut'!M8</f>
        <v/>
      </c>
      <c r="L6" s="11">
        <f>'Sistem Informasi Manajemen'!L8</f>
        <v/>
      </c>
      <c r="M6" s="4">
        <f>'Sistem Informasi Manajemen'!M8</f>
        <v/>
      </c>
      <c r="N6" s="11">
        <f>IFERROR(AVERAGE(F6,H6,J6,L6),"")</f>
        <v/>
      </c>
      <c r="O6" s="17" t="inlineStr">
        <is>
          <t>Buka tautan Drive</t>
        </is>
      </c>
    </row>
    <row r="7">
      <c r="A7" s="9" t="n">
        <v>3</v>
      </c>
      <c r="B7" s="14" t="inlineStr">
        <is>
          <t>RoomSync</t>
        </is>
      </c>
      <c r="C7" s="14" t="inlineStr">
        <is>
          <t>Jovita Maharani</t>
        </is>
      </c>
      <c r="D7" s="4">
        <f>'Manajemen Proyek'!D9</f>
        <v/>
      </c>
      <c r="E7" s="4" t="inlineStr">
        <is>
          <t>Sistem Informasi Ketersediaan dan Alokasi Ruang Berbasis QR Code</t>
        </is>
      </c>
      <c r="F7" s="11">
        <f>'Manajemen Proyek'!L9</f>
        <v/>
      </c>
      <c r="G7" s="4">
        <f>'Manajemen Proyek'!M9</f>
        <v/>
      </c>
      <c r="H7" s="11">
        <f>'Desain &amp; Pemrograman Web'!L9</f>
        <v/>
      </c>
      <c r="I7" s="4">
        <f>'Desain &amp; Pemrograman Web'!M9</f>
        <v/>
      </c>
      <c r="J7" s="11">
        <f>'Basis Data Lanjut'!L9</f>
        <v/>
      </c>
      <c r="K7" s="4">
        <f>'Basis Data Lanjut'!M9</f>
        <v/>
      </c>
      <c r="L7" s="11">
        <f>'Sistem Informasi Manajemen'!L9</f>
        <v/>
      </c>
      <c r="M7" s="4">
        <f>'Sistem Informasi Manajemen'!M9</f>
        <v/>
      </c>
      <c r="N7" s="11">
        <f>IFERROR(AVERAGE(F7,H7,J7,L7),"")</f>
        <v/>
      </c>
      <c r="O7" s="17" t="inlineStr">
        <is>
          <t>Buka tautan Drive</t>
        </is>
      </c>
    </row>
    <row r="8">
      <c r="A8" s="9" t="n">
        <v>4</v>
      </c>
      <c r="B8" s="14" t="inlineStr">
        <is>
          <t>ByteBrokers</t>
        </is>
      </c>
      <c r="C8" s="14" t="inlineStr">
        <is>
          <t>Jonathan Emmanuel Kristanto</t>
        </is>
      </c>
      <c r="D8" s="4">
        <f>'Manajemen Proyek'!D10</f>
        <v/>
      </c>
      <c r="E8" s="4" t="inlineStr">
        <is>
          <t>IndoFX: Platform Marketplace Aset Unity CG dan VFX untuk Game Developer Indonesia</t>
        </is>
      </c>
      <c r="F8" s="11">
        <f>'Manajemen Proyek'!L10</f>
        <v/>
      </c>
      <c r="G8" s="4">
        <f>'Manajemen Proyek'!M10</f>
        <v/>
      </c>
      <c r="H8" s="11">
        <f>'Desain &amp; Pemrograman Web'!L10</f>
        <v/>
      </c>
      <c r="I8" s="4">
        <f>'Desain &amp; Pemrograman Web'!M10</f>
        <v/>
      </c>
      <c r="J8" s="11">
        <f>'Basis Data Lanjut'!L10</f>
        <v/>
      </c>
      <c r="K8" s="4">
        <f>'Basis Data Lanjut'!M10</f>
        <v/>
      </c>
      <c r="L8" s="11">
        <f>'Sistem Informasi Manajemen'!L10</f>
        <v/>
      </c>
      <c r="M8" s="4">
        <f>'Sistem Informasi Manajemen'!M10</f>
        <v/>
      </c>
      <c r="N8" s="11">
        <f>IFERROR(AVERAGE(F8,H8,J8,L8),"")</f>
        <v/>
      </c>
      <c r="O8" s="17" t="inlineStr">
        <is>
          <t>Buka tautan Drive</t>
        </is>
      </c>
    </row>
    <row r="9">
      <c r="A9" s="9" t="n">
        <v>5</v>
      </c>
      <c r="B9" s="14" t="inlineStr">
        <is>
          <t>Bytebound</t>
        </is>
      </c>
      <c r="C9" s="14" t="inlineStr">
        <is>
          <t>Ayu Warda</t>
        </is>
      </c>
      <c r="D9" s="4">
        <f>'Manajemen Proyek'!D11</f>
        <v/>
      </c>
      <c r="E9" s="4" t="inlineStr">
        <is>
          <t>Go Kantin</t>
        </is>
      </c>
      <c r="F9" s="11">
        <f>'Manajemen Proyek'!L11</f>
        <v/>
      </c>
      <c r="G9" s="4">
        <f>'Manajemen Proyek'!M11</f>
        <v/>
      </c>
      <c r="H9" s="11">
        <f>'Desain &amp; Pemrograman Web'!L11</f>
        <v/>
      </c>
      <c r="I9" s="4">
        <f>'Desain &amp; Pemrograman Web'!M11</f>
        <v/>
      </c>
      <c r="J9" s="11">
        <f>'Basis Data Lanjut'!L11</f>
        <v/>
      </c>
      <c r="K9" s="4">
        <f>'Basis Data Lanjut'!M11</f>
        <v/>
      </c>
      <c r="L9" s="11">
        <f>'Sistem Informasi Manajemen'!L11</f>
        <v/>
      </c>
      <c r="M9" s="4">
        <f>'Sistem Informasi Manajemen'!M11</f>
        <v/>
      </c>
      <c r="N9" s="11">
        <f>IFERROR(AVERAGE(F9,H9,J9,L9),"")</f>
        <v/>
      </c>
      <c r="O9" s="17" t="inlineStr">
        <is>
          <t>Buka tautan Drive</t>
        </is>
      </c>
    </row>
    <row r="10">
      <c r="A10" s="9" t="n">
        <v>6</v>
      </c>
      <c r="B10" s="14" t="inlineStr">
        <is>
          <t>Kelompok 3</t>
        </is>
      </c>
      <c r="C10" s="14" t="inlineStr">
        <is>
          <t>Aryakavi Raditya Imaran</t>
        </is>
      </c>
      <c r="D10" s="4">
        <f>'Manajemen Proyek'!D12</f>
        <v/>
      </c>
      <c r="E10" s="4" t="inlineStr">
        <is>
          <t>EventIn</t>
        </is>
      </c>
      <c r="F10" s="11">
        <f>'Manajemen Proyek'!L12</f>
        <v/>
      </c>
      <c r="G10" s="4">
        <f>'Manajemen Proyek'!M12</f>
        <v/>
      </c>
      <c r="H10" s="11">
        <f>'Desain &amp; Pemrograman Web'!L12</f>
        <v/>
      </c>
      <c r="I10" s="4">
        <f>'Desain &amp; Pemrograman Web'!M12</f>
        <v/>
      </c>
      <c r="J10" s="11">
        <f>'Basis Data Lanjut'!L12</f>
        <v/>
      </c>
      <c r="K10" s="4">
        <f>'Basis Data Lanjut'!M12</f>
        <v/>
      </c>
      <c r="L10" s="11">
        <f>'Sistem Informasi Manajemen'!L12</f>
        <v/>
      </c>
      <c r="M10" s="4">
        <f>'Sistem Informasi Manajemen'!M12</f>
        <v/>
      </c>
      <c r="N10" s="11">
        <f>IFERROR(AVERAGE(F10,H10,J10,L10),"")</f>
        <v/>
      </c>
      <c r="O10" s="17" t="inlineStr">
        <is>
          <t>Buka tautan Drive</t>
        </is>
      </c>
    </row>
    <row r="11">
      <c r="A11" s="9" t="n">
        <v>7</v>
      </c>
      <c r="B11" s="14" t="inlineStr">
        <is>
          <t>Tim apa aja</t>
        </is>
      </c>
      <c r="C11" s="14" t="inlineStr">
        <is>
          <t>Dafa Ramadhan</t>
        </is>
      </c>
      <c r="D11" s="4">
        <f>'Manajemen Proyek'!D13</f>
        <v/>
      </c>
      <c r="E11" s="4" t="inlineStr">
        <is>
          <t>SIPOLI: Sistem Informasi Manajemen Poliklinik Politeknik Negeri Malang</t>
        </is>
      </c>
      <c r="F11" s="11">
        <f>'Manajemen Proyek'!L13</f>
        <v/>
      </c>
      <c r="G11" s="4">
        <f>'Manajemen Proyek'!M13</f>
        <v/>
      </c>
      <c r="H11" s="11">
        <f>'Desain &amp; Pemrograman Web'!L13</f>
        <v/>
      </c>
      <c r="I11" s="4">
        <f>'Desain &amp; Pemrograman Web'!M13</f>
        <v/>
      </c>
      <c r="J11" s="11">
        <f>'Basis Data Lanjut'!L13</f>
        <v/>
      </c>
      <c r="K11" s="4">
        <f>'Basis Data Lanjut'!M13</f>
        <v/>
      </c>
      <c r="L11" s="11">
        <f>'Sistem Informasi Manajemen'!L13</f>
        <v/>
      </c>
      <c r="M11" s="4">
        <f>'Sistem Informasi Manajemen'!M13</f>
        <v/>
      </c>
      <c r="N11" s="11">
        <f>IFERROR(AVERAGE(F11,H11,J11,L11),"")</f>
        <v/>
      </c>
      <c r="O11" s="17" t="inlineStr">
        <is>
          <t>Buka tautan Drive</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