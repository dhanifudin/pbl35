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JF1aD3yG_nrJrtw4RBv7L1WV6zZxAIbR" TargetMode="External" Id="rId1" /><Relationship Type="http://schemas.openxmlformats.org/officeDocument/2006/relationships/hyperlink" Target="https://drive.google.com/open?id=1eWtK0zJjrLEHc8X9iwEiGf5_H3u3OCvA" TargetMode="External" Id="rId2" /><Relationship Type="http://schemas.openxmlformats.org/officeDocument/2006/relationships/hyperlink" Target="https://drive.google.com/open?id=1FLpkCOuTLmICeCIqPaT4IIF9yq80Xvi2" TargetMode="External" Id="rId3" /><Relationship Type="http://schemas.openxmlformats.org/officeDocument/2006/relationships/hyperlink" Target="https://drive.google.com/open?id=10GGDj4wYF7YYOI_JcZeDDxgGxcH24eI2" TargetMode="External" Id="rId4" /><Relationship Type="http://schemas.openxmlformats.org/officeDocument/2006/relationships/hyperlink" Target="https://drive.google.com/open?id=1f_nGEfK-OXXR0CTfIFeB7nasvTcv5hWp" TargetMode="External" Id="rId5" /><Relationship Type="http://schemas.openxmlformats.org/officeDocument/2006/relationships/hyperlink" Target="https://drive.google.com/open?id=1GNn0ncEEp7mV6Db10IDkjNsOkv3fZFBv" TargetMode="External" Id="rId6" /><Relationship Type="http://schemas.openxmlformats.org/officeDocument/2006/relationships/hyperlink" Target="https://drive.google.com/open?id=171RdbAfX9Vr5-mN1lxghs2e5GJ6GF1oc" TargetMode="External" Id="rId7" /><Relationship Type="http://schemas.openxmlformats.org/officeDocument/2006/relationships/hyperlink" Target="https://drive.google.com/open?id=1AUJeraTmNYbc9R633hxPMAcjp01Gm1WZ" TargetMode="External" Id="rId8" /></Relationships>
</file>

<file path=xl/worksheets/_rels/sheet4.xml.rels><Relationships xmlns="http://schemas.openxmlformats.org/package/2006/relationships"><Relationship Type="http://schemas.openxmlformats.org/officeDocument/2006/relationships/hyperlink" Target="https://drive.google.com/open?id=1JF1aD3yG_nrJrtw4RBv7L1WV6zZxAIbR" TargetMode="External" Id="rId1" /><Relationship Type="http://schemas.openxmlformats.org/officeDocument/2006/relationships/hyperlink" Target="https://drive.google.com/open?id=1eWtK0zJjrLEHc8X9iwEiGf5_H3u3OCvA" TargetMode="External" Id="rId2" /><Relationship Type="http://schemas.openxmlformats.org/officeDocument/2006/relationships/hyperlink" Target="https://drive.google.com/open?id=1FLpkCOuTLmICeCIqPaT4IIF9yq80Xvi2" TargetMode="External" Id="rId3" /><Relationship Type="http://schemas.openxmlformats.org/officeDocument/2006/relationships/hyperlink" Target="https://drive.google.com/open?id=10GGDj4wYF7YYOI_JcZeDDxgGxcH24eI2" TargetMode="External" Id="rId4" /><Relationship Type="http://schemas.openxmlformats.org/officeDocument/2006/relationships/hyperlink" Target="https://drive.google.com/open?id=1f_nGEfK-OXXR0CTfIFeB7nasvTcv5hWp" TargetMode="External" Id="rId5" /><Relationship Type="http://schemas.openxmlformats.org/officeDocument/2006/relationships/hyperlink" Target="https://drive.google.com/open?id=1GNn0ncEEp7mV6Db10IDkjNsOkv3fZFBv" TargetMode="External" Id="rId6" /><Relationship Type="http://schemas.openxmlformats.org/officeDocument/2006/relationships/hyperlink" Target="https://drive.google.com/open?id=171RdbAfX9Vr5-mN1lxghs2e5GJ6GF1oc" TargetMode="External" Id="rId7" /><Relationship Type="http://schemas.openxmlformats.org/officeDocument/2006/relationships/hyperlink" Target="https://drive.google.com/open?id=1AUJeraTmNYbc9R633hxPMAcjp01Gm1WZ" TargetMode="External" Id="rId8" /></Relationships>
</file>

<file path=xl/worksheets/_rels/sheet5.xml.rels><Relationships xmlns="http://schemas.openxmlformats.org/package/2006/relationships"><Relationship Type="http://schemas.openxmlformats.org/officeDocument/2006/relationships/hyperlink" Target="https://drive.google.com/open?id=1JF1aD3yG_nrJrtw4RBv7L1WV6zZxAIbR" TargetMode="External" Id="rId1" /><Relationship Type="http://schemas.openxmlformats.org/officeDocument/2006/relationships/hyperlink" Target="https://drive.google.com/open?id=1eWtK0zJjrLEHc8X9iwEiGf5_H3u3OCvA" TargetMode="External" Id="rId2" /><Relationship Type="http://schemas.openxmlformats.org/officeDocument/2006/relationships/hyperlink" Target="https://drive.google.com/open?id=1FLpkCOuTLmICeCIqPaT4IIF9yq80Xvi2" TargetMode="External" Id="rId3" /><Relationship Type="http://schemas.openxmlformats.org/officeDocument/2006/relationships/hyperlink" Target="https://drive.google.com/open?id=10GGDj4wYF7YYOI_JcZeDDxgGxcH24eI2" TargetMode="External" Id="rId4" /><Relationship Type="http://schemas.openxmlformats.org/officeDocument/2006/relationships/hyperlink" Target="https://drive.google.com/open?id=1f_nGEfK-OXXR0CTfIFeB7nasvTcv5hWp" TargetMode="External" Id="rId5" /><Relationship Type="http://schemas.openxmlformats.org/officeDocument/2006/relationships/hyperlink" Target="https://drive.google.com/open?id=1GNn0ncEEp7mV6Db10IDkjNsOkv3fZFBv" TargetMode="External" Id="rId6" /><Relationship Type="http://schemas.openxmlformats.org/officeDocument/2006/relationships/hyperlink" Target="https://drive.google.com/open?id=171RdbAfX9Vr5-mN1lxghs2e5GJ6GF1oc" TargetMode="External" Id="rId7" /><Relationship Type="http://schemas.openxmlformats.org/officeDocument/2006/relationships/hyperlink" Target="https://drive.google.com/open?id=1AUJeraTmNYbc9R633hxPMAcjp01Gm1WZ" TargetMode="External" Id="rId8" /></Relationships>
</file>

<file path=xl/worksheets/_rels/sheet6.xml.rels><Relationships xmlns="http://schemas.openxmlformats.org/package/2006/relationships"><Relationship Type="http://schemas.openxmlformats.org/officeDocument/2006/relationships/hyperlink" Target="https://drive.google.com/open?id=1JF1aD3yG_nrJrtw4RBv7L1WV6zZxAIbR" TargetMode="External" Id="rId1" /><Relationship Type="http://schemas.openxmlformats.org/officeDocument/2006/relationships/hyperlink" Target="https://drive.google.com/open?id=1eWtK0zJjrLEHc8X9iwEiGf5_H3u3OCvA" TargetMode="External" Id="rId2" /><Relationship Type="http://schemas.openxmlformats.org/officeDocument/2006/relationships/hyperlink" Target="https://drive.google.com/open?id=1FLpkCOuTLmICeCIqPaT4IIF9yq80Xvi2" TargetMode="External" Id="rId3" /><Relationship Type="http://schemas.openxmlformats.org/officeDocument/2006/relationships/hyperlink" Target="https://drive.google.com/open?id=10GGDj4wYF7YYOI_JcZeDDxgGxcH24eI2" TargetMode="External" Id="rId4" /><Relationship Type="http://schemas.openxmlformats.org/officeDocument/2006/relationships/hyperlink" Target="https://drive.google.com/open?id=1f_nGEfK-OXXR0CTfIFeB7nasvTcv5hWp" TargetMode="External" Id="rId5" /><Relationship Type="http://schemas.openxmlformats.org/officeDocument/2006/relationships/hyperlink" Target="https://drive.google.com/open?id=1GNn0ncEEp7mV6Db10IDkjNsOkv3fZFBv" TargetMode="External" Id="rId6" /><Relationship Type="http://schemas.openxmlformats.org/officeDocument/2006/relationships/hyperlink" Target="https://drive.google.com/open?id=171RdbAfX9Vr5-mN1lxghs2e5GJ6GF1oc" TargetMode="External" Id="rId7" /><Relationship Type="http://schemas.openxmlformats.org/officeDocument/2006/relationships/hyperlink" Target="https://drive.google.com/open?id=1AUJeraTmNYbc9R633hxPMAcjp01Gm1WZ" TargetMode="External" Id="rId8" /></Relationships>
</file>

<file path=xl/worksheets/_rels/sheet7.xml.rels><Relationships xmlns="http://schemas.openxmlformats.org/package/2006/relationships"><Relationship Type="http://schemas.openxmlformats.org/officeDocument/2006/relationships/hyperlink" Target="https://drive.google.com/open?id=1JF1aD3yG_nrJrtw4RBv7L1WV6zZxAIbR" TargetMode="External" Id="rId1" /><Relationship Type="http://schemas.openxmlformats.org/officeDocument/2006/relationships/hyperlink" Target="https://drive.google.com/open?id=1eWtK0zJjrLEHc8X9iwEiGf5_H3u3OCvA" TargetMode="External" Id="rId2" /><Relationship Type="http://schemas.openxmlformats.org/officeDocument/2006/relationships/hyperlink" Target="https://drive.google.com/open?id=1FLpkCOuTLmICeCIqPaT4IIF9yq80Xvi2" TargetMode="External" Id="rId3" /><Relationship Type="http://schemas.openxmlformats.org/officeDocument/2006/relationships/hyperlink" Target="https://drive.google.com/open?id=10GGDj4wYF7YYOI_JcZeDDxgGxcH24eI2" TargetMode="External" Id="rId4" /><Relationship Type="http://schemas.openxmlformats.org/officeDocument/2006/relationships/hyperlink" Target="https://drive.google.com/open?id=1f_nGEfK-OXXR0CTfIFeB7nasvTcv5hWp" TargetMode="External" Id="rId5" /><Relationship Type="http://schemas.openxmlformats.org/officeDocument/2006/relationships/hyperlink" Target="https://drive.google.com/open?id=1GNn0ncEEp7mV6Db10IDkjNsOkv3fZFBv" TargetMode="External" Id="rId6" /><Relationship Type="http://schemas.openxmlformats.org/officeDocument/2006/relationships/hyperlink" Target="https://drive.google.com/open?id=171RdbAfX9Vr5-mN1lxghs2e5GJ6GF1oc" TargetMode="External" Id="rId7" /><Relationship Type="http://schemas.openxmlformats.org/officeDocument/2006/relationships/hyperlink" Target="https://drive.google.com/open?id=1AUJeraTmNYbc9R633hxPMAcjp01Gm1WZ" TargetMode="External" Id="rId8"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TI_2G</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TI_2G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TI_2G - Dosen Pengampu: Titis Octary Satrio, S.ST.,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Jawa</t>
        </is>
      </c>
      <c r="C7" s="14" t="inlineStr">
        <is>
          <t>Faren Hafiza Afanda</t>
        </is>
      </c>
      <c r="D7" s="15" t="inlineStr">
        <is>
          <t>Arga Chandra Wirawan (254107020023)
Faren Hafiza Afanda Muhammad Farhan (254107020025)
Pieter Hartanto Lesmana (254107020145)</t>
        </is>
      </c>
      <c r="E7" s="4" t="inlineStr">
        <is>
          <t>Sistem Presensi Berbasis Pemindaian Wajah dan Code QR</t>
        </is>
      </c>
      <c r="F7" s="16" t="n"/>
      <c r="G7" s="16" t="n"/>
      <c r="H7" s="16" t="n"/>
      <c r="I7" s="16" t="n"/>
      <c r="J7" s="16" t="n"/>
      <c r="K7" s="16" t="n"/>
      <c r="L7" s="11">
        <f>IF(COUNT(F7:K7)&lt;6,"",SUMPRODUCT(F7:K7,$F$6:$K$6)/SUM($F$6:$K$6)/5*100)</f>
        <v/>
      </c>
      <c r="M7" s="15" t="n"/>
      <c r="N7" s="17" t="inlineStr">
        <is>
          <t>Buka tautan Drive</t>
        </is>
      </c>
    </row>
    <row r="8">
      <c r="A8" s="9" t="n">
        <v>2</v>
      </c>
      <c r="B8" s="14" t="inlineStr">
        <is>
          <t>Pasukan Mie Ayam</t>
        </is>
      </c>
      <c r="C8" s="14" t="inlineStr">
        <is>
          <t>Yudhistira Andhika Hermawanto</t>
        </is>
      </c>
      <c r="D8" s="15" t="inlineStr">
        <is>
          <t>Alden Dzakwan S (254107020106)
Hafidza Tsamara Z (254107020034)
Lindhu Nuril R Yudhistira Andhika H (254107020216)</t>
        </is>
      </c>
      <c r="E8" s="4" t="inlineStr">
        <is>
          <t>NIMIE</t>
        </is>
      </c>
      <c r="F8" s="16" t="n"/>
      <c r="G8" s="16" t="n"/>
      <c r="H8" s="16" t="n"/>
      <c r="I8" s="16" t="n"/>
      <c r="J8" s="16" t="n"/>
      <c r="K8" s="16" t="n"/>
      <c r="L8" s="11">
        <f>IF(COUNT(F8:K8)&lt;6,"",SUMPRODUCT(F8:K8,$F$6:$K$6)/SUM($F$6:$K$6)/5*100)</f>
        <v/>
      </c>
      <c r="M8" s="15" t="n"/>
      <c r="N8" s="17" t="inlineStr">
        <is>
          <t>Buka tautan Drive</t>
        </is>
      </c>
    </row>
    <row r="9">
      <c r="A9" s="9" t="n">
        <v>3</v>
      </c>
      <c r="B9" s="14" t="inlineStr">
        <is>
          <t>Kelompok 2</t>
        </is>
      </c>
      <c r="C9" s="14" t="inlineStr">
        <is>
          <t>Muhammad Hafiz</t>
        </is>
      </c>
      <c r="D9" s="15" t="inlineStr">
        <is>
          <t>Ketua: Muhammad Hafiz</t>
        </is>
      </c>
      <c r="E9" s="4" t="inlineStr">
        <is>
          <t>TITIPIN</t>
        </is>
      </c>
      <c r="F9" s="16" t="n"/>
      <c r="G9" s="16" t="n"/>
      <c r="H9" s="16" t="n"/>
      <c r="I9" s="16" t="n"/>
      <c r="J9" s="16" t="n"/>
      <c r="K9" s="16" t="n"/>
      <c r="L9" s="11">
        <f>IF(COUNT(F9:K9)&lt;6,"",SUMPRODUCT(F9:K9,$F$6:$K$6)/SUM($F$6:$K$6)/5*100)</f>
        <v/>
      </c>
      <c r="M9" s="15" t="n"/>
      <c r="N9" s="17" t="inlineStr">
        <is>
          <t>Buka tautan Drive</t>
        </is>
      </c>
    </row>
    <row r="10">
      <c r="A10" s="9" t="n">
        <v>4</v>
      </c>
      <c r="B10" s="14" t="inlineStr">
        <is>
          <t>Tim Rak</t>
        </is>
      </c>
      <c r="C10" s="14" t="inlineStr">
        <is>
          <t>Attaqi Fadhil Arifianto</t>
        </is>
      </c>
      <c r="D10" s="15" t="inlineStr">
        <is>
          <t>Ketua: Attaqi Fadhil Arifianto</t>
        </is>
      </c>
      <c r="E10" s="4" t="inlineStr">
        <is>
          <t>SORTIK - Sistem Penyortiran Produk dan Katalog Toko Elektronik</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7</t>
        </is>
      </c>
      <c r="C11" s="14" t="inlineStr">
        <is>
          <t>Ibni Andarta</t>
        </is>
      </c>
      <c r="D11" s="15" t="inlineStr">
        <is>
          <t>Ketua: Ibni Andarta</t>
        </is>
      </c>
      <c r="E11" s="4" t="inlineStr">
        <is>
          <t>Sistem Informasi Manajemen Kas dan Keuangan Berbasis Web untuk Kelas dan Organisasi Skala Kecil.</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Reyhandhika Zikri Prijadi</t>
        </is>
      </c>
      <c r="D12" s="15" t="inlineStr">
        <is>
          <t>Ketua: Reyhandhika Zikri Prijadi</t>
        </is>
      </c>
      <c r="E12" s="4" t="inlineStr">
        <is>
          <t>PREVO</t>
        </is>
      </c>
      <c r="F12" s="16" t="n"/>
      <c r="G12" s="16" t="n"/>
      <c r="H12" s="16" t="n"/>
      <c r="I12" s="16" t="n"/>
      <c r="J12" s="16" t="n"/>
      <c r="K12" s="16" t="n"/>
      <c r="L12" s="11">
        <f>IF(COUNT(F12:K12)&lt;6,"",SUMPRODUCT(F12:K12,$F$6:$K$6)/SUM($F$6:$K$6)/5*100)</f>
        <v/>
      </c>
      <c r="M12" s="15" t="n"/>
      <c r="N12" s="17" t="inlineStr">
        <is>
          <t>Buka tautan Drive</t>
        </is>
      </c>
    </row>
    <row r="13">
      <c r="A13" s="9" t="n">
        <v>7</v>
      </c>
      <c r="B13" s="14" t="inlineStr">
        <is>
          <t>Mepet Deadline</t>
        </is>
      </c>
      <c r="C13" s="14" t="inlineStr">
        <is>
          <t>Deras Pangestu Gusti</t>
        </is>
      </c>
      <c r="D13" s="15" t="inlineStr">
        <is>
          <t>Ketua: Deras Pangestu Gusti</t>
        </is>
      </c>
      <c r="E13" s="4" t="inlineStr">
        <is>
          <t>WEB-BASED PLAYSTATION RENTAL MANAGEMENT AND CONSOLE AVAILABILITY TRACKING SYSTEM</t>
        </is>
      </c>
      <c r="F13" s="16" t="n"/>
      <c r="G13" s="16" t="n"/>
      <c r="H13" s="16" t="n"/>
      <c r="I13" s="16" t="n"/>
      <c r="J13" s="16" t="n"/>
      <c r="K13" s="16" t="n"/>
      <c r="L13" s="11">
        <f>IF(COUNT(F13:K13)&lt;6,"",SUMPRODUCT(F13:K13,$F$6:$K$6)/SUM($F$6:$K$6)/5*100)</f>
        <v/>
      </c>
      <c r="M13" s="15" t="n"/>
      <c r="N13" s="17" t="inlineStr">
        <is>
          <t>Buka tautan Drive</t>
        </is>
      </c>
    </row>
    <row r="14">
      <c r="A14" s="9" t="n">
        <v>8</v>
      </c>
      <c r="B14" s="14" t="inlineStr">
        <is>
          <t>Kejar Detlen</t>
        </is>
      </c>
      <c r="C14" s="14" t="inlineStr">
        <is>
          <t>Syahrur Ramadhan</t>
        </is>
      </c>
      <c r="D14" s="15" t="inlineStr">
        <is>
          <t>Syahrur Ramadhan (254107020008)
Rafael Dimas C. L (254107020051)
Nurfakiyah Rahmadhani (254107020229)
Camelia Azzahra (242107071007)</t>
        </is>
      </c>
      <c r="E14" s="4" t="inlineStr">
        <is>
          <t>TEMUin</t>
        </is>
      </c>
      <c r="F14" s="16" t="n"/>
      <c r="G14" s="16" t="n"/>
      <c r="H14" s="16" t="n"/>
      <c r="I14" s="16" t="n"/>
      <c r="J14" s="16" t="n"/>
      <c r="K14" s="16" t="n"/>
      <c r="L14" s="11">
        <f>IF(COUNT(F14:K14)&lt;6,"",SUMPRODUCT(F14:K14,$F$6:$K$6)/SUM($F$6:$K$6)/5*100)</f>
        <v/>
      </c>
      <c r="M14" s="15" t="n"/>
      <c r="N14" s="17" t="inlineStr">
        <is>
          <t>Buka tautan Drive</t>
        </is>
      </c>
    </row>
  </sheetData>
  <mergeCells count="3">
    <mergeCell ref="A4:N4"/>
    <mergeCell ref="A2:N2"/>
    <mergeCell ref="A1:N1"/>
  </mergeCells>
  <dataValidations count="1">
    <dataValidation sqref="F7 F8 F9 F10 F11 F12 F13 F14 G7 G8 G9 G10 G11 G12 G13 G14 H7 H8 H9 H10 H11 H12 H13 H14 I7 I8 I9 I10 I11 I12 I13 I14 J7 J8 J9 J10 J11 J12 J13 J14 K7 K8 K9 K10 K11 K12 K13 K14"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4"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TI_2G - Dosen Pengampu: Endah Septa Sintiya. SPd., 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Jawa</t>
        </is>
      </c>
      <c r="C7" s="14" t="inlineStr">
        <is>
          <t>Faren Hafiza Afanda</t>
        </is>
      </c>
      <c r="D7" s="15" t="inlineStr">
        <is>
          <t>Arga Chandra Wirawan (254107020023)
Faren Hafiza Afanda Muhammad Farhan (254107020025)
Pieter Hartanto Lesmana (254107020145)</t>
        </is>
      </c>
      <c r="E7" s="4" t="inlineStr">
        <is>
          <t>Sistem Presensi Berbasis Pemindaian Wajah dan Code QR</t>
        </is>
      </c>
      <c r="F7" s="16" t="n"/>
      <c r="G7" s="16" t="n"/>
      <c r="H7" s="16" t="n"/>
      <c r="I7" s="16" t="n"/>
      <c r="J7" s="16" t="n"/>
      <c r="K7" s="16" t="n"/>
      <c r="L7" s="11">
        <f>IF(COUNT(F7:K7)&lt;6,"",SUMPRODUCT(F7:K7,$F$6:$K$6)/SUM($F$6:$K$6)/5*100)</f>
        <v/>
      </c>
      <c r="M7" s="15" t="n"/>
      <c r="N7" s="17" t="inlineStr">
        <is>
          <t>Buka tautan Drive</t>
        </is>
      </c>
    </row>
    <row r="8">
      <c r="A8" s="9" t="n">
        <v>2</v>
      </c>
      <c r="B8" s="14" t="inlineStr">
        <is>
          <t>Pasukan Mie Ayam</t>
        </is>
      </c>
      <c r="C8" s="14" t="inlineStr">
        <is>
          <t>Yudhistira Andhika Hermawanto</t>
        </is>
      </c>
      <c r="D8" s="15" t="inlineStr">
        <is>
          <t>Alden Dzakwan S (254107020106)
Hafidza Tsamara Z (254107020034)
Lindhu Nuril R Yudhistira Andhika H (254107020216)</t>
        </is>
      </c>
      <c r="E8" s="4" t="inlineStr">
        <is>
          <t>NIMIE</t>
        </is>
      </c>
      <c r="F8" s="16" t="n"/>
      <c r="G8" s="16" t="n"/>
      <c r="H8" s="16" t="n"/>
      <c r="I8" s="16" t="n"/>
      <c r="J8" s="16" t="n"/>
      <c r="K8" s="16" t="n"/>
      <c r="L8" s="11">
        <f>IF(COUNT(F8:K8)&lt;6,"",SUMPRODUCT(F8:K8,$F$6:$K$6)/SUM($F$6:$K$6)/5*100)</f>
        <v/>
      </c>
      <c r="M8" s="15" t="n"/>
      <c r="N8" s="17" t="inlineStr">
        <is>
          <t>Buka tautan Drive</t>
        </is>
      </c>
    </row>
    <row r="9">
      <c r="A9" s="9" t="n">
        <v>3</v>
      </c>
      <c r="B9" s="14" t="inlineStr">
        <is>
          <t>Kelompok 2</t>
        </is>
      </c>
      <c r="C9" s="14" t="inlineStr">
        <is>
          <t>Muhammad Hafiz</t>
        </is>
      </c>
      <c r="D9" s="15" t="inlineStr">
        <is>
          <t>Ketua: Muhammad Hafiz</t>
        </is>
      </c>
      <c r="E9" s="4" t="inlineStr">
        <is>
          <t>TITIPIN</t>
        </is>
      </c>
      <c r="F9" s="16" t="n"/>
      <c r="G9" s="16" t="n"/>
      <c r="H9" s="16" t="n"/>
      <c r="I9" s="16" t="n"/>
      <c r="J9" s="16" t="n"/>
      <c r="K9" s="16" t="n"/>
      <c r="L9" s="11">
        <f>IF(COUNT(F9:K9)&lt;6,"",SUMPRODUCT(F9:K9,$F$6:$K$6)/SUM($F$6:$K$6)/5*100)</f>
        <v/>
      </c>
      <c r="M9" s="15" t="n"/>
      <c r="N9" s="17" t="inlineStr">
        <is>
          <t>Buka tautan Drive</t>
        </is>
      </c>
    </row>
    <row r="10">
      <c r="A10" s="9" t="n">
        <v>4</v>
      </c>
      <c r="B10" s="14" t="inlineStr">
        <is>
          <t>Tim Rak</t>
        </is>
      </c>
      <c r="C10" s="14" t="inlineStr">
        <is>
          <t>Attaqi Fadhil Arifianto</t>
        </is>
      </c>
      <c r="D10" s="15" t="inlineStr">
        <is>
          <t>Ketua: Attaqi Fadhil Arifianto</t>
        </is>
      </c>
      <c r="E10" s="4" t="inlineStr">
        <is>
          <t>SORTIK - Sistem Penyortiran Produk dan Katalog Toko Elektronik</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7</t>
        </is>
      </c>
      <c r="C11" s="14" t="inlineStr">
        <is>
          <t>Ibni Andarta</t>
        </is>
      </c>
      <c r="D11" s="15" t="inlineStr">
        <is>
          <t>Ketua: Ibni Andarta</t>
        </is>
      </c>
      <c r="E11" s="4" t="inlineStr">
        <is>
          <t>Sistem Informasi Manajemen Kas dan Keuangan Berbasis Web untuk Kelas dan Organisasi Skala Kecil.</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Reyhandhika Zikri Prijadi</t>
        </is>
      </c>
      <c r="D12" s="15" t="inlineStr">
        <is>
          <t>Ketua: Reyhandhika Zikri Prijadi</t>
        </is>
      </c>
      <c r="E12" s="4" t="inlineStr">
        <is>
          <t>PREVO</t>
        </is>
      </c>
      <c r="F12" s="16" t="n"/>
      <c r="G12" s="16" t="n"/>
      <c r="H12" s="16" t="n"/>
      <c r="I12" s="16" t="n"/>
      <c r="J12" s="16" t="n"/>
      <c r="K12" s="16" t="n"/>
      <c r="L12" s="11">
        <f>IF(COUNT(F12:K12)&lt;6,"",SUMPRODUCT(F12:K12,$F$6:$K$6)/SUM($F$6:$K$6)/5*100)</f>
        <v/>
      </c>
      <c r="M12" s="15" t="n"/>
      <c r="N12" s="17" t="inlineStr">
        <is>
          <t>Buka tautan Drive</t>
        </is>
      </c>
    </row>
    <row r="13">
      <c r="A13" s="9" t="n">
        <v>7</v>
      </c>
      <c r="B13" s="14" t="inlineStr">
        <is>
          <t>Mepet Deadline</t>
        </is>
      </c>
      <c r="C13" s="14" t="inlineStr">
        <is>
          <t>Deras Pangestu Gusti</t>
        </is>
      </c>
      <c r="D13" s="15" t="inlineStr">
        <is>
          <t>Ketua: Deras Pangestu Gusti</t>
        </is>
      </c>
      <c r="E13" s="4" t="inlineStr">
        <is>
          <t>WEB-BASED PLAYSTATION RENTAL MANAGEMENT AND CONSOLE AVAILABILITY TRACKING SYSTEM</t>
        </is>
      </c>
      <c r="F13" s="16" t="n"/>
      <c r="G13" s="16" t="n"/>
      <c r="H13" s="16" t="n"/>
      <c r="I13" s="16" t="n"/>
      <c r="J13" s="16" t="n"/>
      <c r="K13" s="16" t="n"/>
      <c r="L13" s="11">
        <f>IF(COUNT(F13:K13)&lt;6,"",SUMPRODUCT(F13:K13,$F$6:$K$6)/SUM($F$6:$K$6)/5*100)</f>
        <v/>
      </c>
      <c r="M13" s="15" t="n"/>
      <c r="N13" s="17" t="inlineStr">
        <is>
          <t>Buka tautan Drive</t>
        </is>
      </c>
    </row>
    <row r="14">
      <c r="A14" s="9" t="n">
        <v>8</v>
      </c>
      <c r="B14" s="14" t="inlineStr">
        <is>
          <t>Kejar Detlen</t>
        </is>
      </c>
      <c r="C14" s="14" t="inlineStr">
        <is>
          <t>Syahrur Ramadhan</t>
        </is>
      </c>
      <c r="D14" s="15" t="inlineStr">
        <is>
          <t>Syahrur Ramadhan (254107020008)
Rafael Dimas C. L (254107020051)
Nurfakiyah Rahmadhani (254107020229)
Camelia Azzahra (242107071007)</t>
        </is>
      </c>
      <c r="E14" s="4" t="inlineStr">
        <is>
          <t>TEMUin</t>
        </is>
      </c>
      <c r="F14" s="16" t="n"/>
      <c r="G14" s="16" t="n"/>
      <c r="H14" s="16" t="n"/>
      <c r="I14" s="16" t="n"/>
      <c r="J14" s="16" t="n"/>
      <c r="K14" s="16" t="n"/>
      <c r="L14" s="11">
        <f>IF(COUNT(F14:K14)&lt;6,"",SUMPRODUCT(F14:K14,$F$6:$K$6)/SUM($F$6:$K$6)/5*100)</f>
        <v/>
      </c>
      <c r="M14" s="15" t="n"/>
      <c r="N14" s="17" t="inlineStr">
        <is>
          <t>Buka tautan Drive</t>
        </is>
      </c>
    </row>
  </sheetData>
  <mergeCells count="3">
    <mergeCell ref="A4:N4"/>
    <mergeCell ref="A2:N2"/>
    <mergeCell ref="A1:N1"/>
  </mergeCells>
  <dataValidations count="1">
    <dataValidation sqref="F7 F8 F9 F10 F11 F12 F13 F14 G7 G8 G9 G10 G11 G12 G13 G14 H7 H8 H9 H10 H11 H12 H13 H14 I7 I8 I9 I10 I11 I12 I13 I14 J7 J8 J9 J10 J11 J12 J13 J14 K7 K8 K9 K10 K11 K12 K13 K14"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4"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TI_2G - Dosen Pengampu: Yoppy Yunhasnawa, S.ST., M.Sc.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Jawa</t>
        </is>
      </c>
      <c r="C7" s="14" t="inlineStr">
        <is>
          <t>Faren Hafiza Afanda</t>
        </is>
      </c>
      <c r="D7" s="15" t="inlineStr">
        <is>
          <t>Arga Chandra Wirawan (254107020023)
Faren Hafiza Afanda Muhammad Farhan (254107020025)
Pieter Hartanto Lesmana (254107020145)</t>
        </is>
      </c>
      <c r="E7" s="4" t="inlineStr">
        <is>
          <t>Sistem Presensi Berbasis Pemindaian Wajah dan Code QR</t>
        </is>
      </c>
      <c r="F7" s="16" t="n"/>
      <c r="G7" s="16" t="n"/>
      <c r="H7" s="16" t="n"/>
      <c r="I7" s="16" t="n"/>
      <c r="J7" s="16" t="n"/>
      <c r="K7" s="16" t="n"/>
      <c r="L7" s="11">
        <f>IF(COUNT(F7:K7)&lt;6,"",SUMPRODUCT(F7:K7,$F$6:$K$6)/SUM($F$6:$K$6)/5*100)</f>
        <v/>
      </c>
      <c r="M7" s="15" t="n"/>
      <c r="N7" s="17" t="inlineStr">
        <is>
          <t>Buka tautan Drive</t>
        </is>
      </c>
    </row>
    <row r="8">
      <c r="A8" s="9" t="n">
        <v>2</v>
      </c>
      <c r="B8" s="14" t="inlineStr">
        <is>
          <t>Pasukan Mie Ayam</t>
        </is>
      </c>
      <c r="C8" s="14" t="inlineStr">
        <is>
          <t>Yudhistira Andhika Hermawanto</t>
        </is>
      </c>
      <c r="D8" s="15" t="inlineStr">
        <is>
          <t>Alden Dzakwan S (254107020106)
Hafidza Tsamara Z (254107020034)
Lindhu Nuril R Yudhistira Andhika H (254107020216)</t>
        </is>
      </c>
      <c r="E8" s="4" t="inlineStr">
        <is>
          <t>NIMIE</t>
        </is>
      </c>
      <c r="F8" s="16" t="n"/>
      <c r="G8" s="16" t="n"/>
      <c r="H8" s="16" t="n"/>
      <c r="I8" s="16" t="n"/>
      <c r="J8" s="16" t="n"/>
      <c r="K8" s="16" t="n"/>
      <c r="L8" s="11">
        <f>IF(COUNT(F8:K8)&lt;6,"",SUMPRODUCT(F8:K8,$F$6:$K$6)/SUM($F$6:$K$6)/5*100)</f>
        <v/>
      </c>
      <c r="M8" s="15" t="n"/>
      <c r="N8" s="17" t="inlineStr">
        <is>
          <t>Buka tautan Drive</t>
        </is>
      </c>
    </row>
    <row r="9">
      <c r="A9" s="9" t="n">
        <v>3</v>
      </c>
      <c r="B9" s="14" t="inlineStr">
        <is>
          <t>Kelompok 2</t>
        </is>
      </c>
      <c r="C9" s="14" t="inlineStr">
        <is>
          <t>Muhammad Hafiz</t>
        </is>
      </c>
      <c r="D9" s="15" t="inlineStr">
        <is>
          <t>Ketua: Muhammad Hafiz</t>
        </is>
      </c>
      <c r="E9" s="4" t="inlineStr">
        <is>
          <t>TITIPIN</t>
        </is>
      </c>
      <c r="F9" s="16" t="n"/>
      <c r="G9" s="16" t="n"/>
      <c r="H9" s="16" t="n"/>
      <c r="I9" s="16" t="n"/>
      <c r="J9" s="16" t="n"/>
      <c r="K9" s="16" t="n"/>
      <c r="L9" s="11">
        <f>IF(COUNT(F9:K9)&lt;6,"",SUMPRODUCT(F9:K9,$F$6:$K$6)/SUM($F$6:$K$6)/5*100)</f>
        <v/>
      </c>
      <c r="M9" s="15" t="n"/>
      <c r="N9" s="17" t="inlineStr">
        <is>
          <t>Buka tautan Drive</t>
        </is>
      </c>
    </row>
    <row r="10">
      <c r="A10" s="9" t="n">
        <v>4</v>
      </c>
      <c r="B10" s="14" t="inlineStr">
        <is>
          <t>Tim Rak</t>
        </is>
      </c>
      <c r="C10" s="14" t="inlineStr">
        <is>
          <t>Attaqi Fadhil Arifianto</t>
        </is>
      </c>
      <c r="D10" s="15" t="inlineStr">
        <is>
          <t>Ketua: Attaqi Fadhil Arifianto</t>
        </is>
      </c>
      <c r="E10" s="4" t="inlineStr">
        <is>
          <t>SORTIK - Sistem Penyortiran Produk dan Katalog Toko Elektronik</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7</t>
        </is>
      </c>
      <c r="C11" s="14" t="inlineStr">
        <is>
          <t>Ibni Andarta</t>
        </is>
      </c>
      <c r="D11" s="15" t="inlineStr">
        <is>
          <t>Ketua: Ibni Andarta</t>
        </is>
      </c>
      <c r="E11" s="4" t="inlineStr">
        <is>
          <t>Sistem Informasi Manajemen Kas dan Keuangan Berbasis Web untuk Kelas dan Organisasi Skala Kecil.</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Reyhandhika Zikri Prijadi</t>
        </is>
      </c>
      <c r="D12" s="15" t="inlineStr">
        <is>
          <t>Ketua: Reyhandhika Zikri Prijadi</t>
        </is>
      </c>
      <c r="E12" s="4" t="inlineStr">
        <is>
          <t>PREVO</t>
        </is>
      </c>
      <c r="F12" s="16" t="n"/>
      <c r="G12" s="16" t="n"/>
      <c r="H12" s="16" t="n"/>
      <c r="I12" s="16" t="n"/>
      <c r="J12" s="16" t="n"/>
      <c r="K12" s="16" t="n"/>
      <c r="L12" s="11">
        <f>IF(COUNT(F12:K12)&lt;6,"",SUMPRODUCT(F12:K12,$F$6:$K$6)/SUM($F$6:$K$6)/5*100)</f>
        <v/>
      </c>
      <c r="M12" s="15" t="n"/>
      <c r="N12" s="17" t="inlineStr">
        <is>
          <t>Buka tautan Drive</t>
        </is>
      </c>
    </row>
    <row r="13">
      <c r="A13" s="9" t="n">
        <v>7</v>
      </c>
      <c r="B13" s="14" t="inlineStr">
        <is>
          <t>Mepet Deadline</t>
        </is>
      </c>
      <c r="C13" s="14" t="inlineStr">
        <is>
          <t>Deras Pangestu Gusti</t>
        </is>
      </c>
      <c r="D13" s="15" t="inlineStr">
        <is>
          <t>Ketua: Deras Pangestu Gusti</t>
        </is>
      </c>
      <c r="E13" s="4" t="inlineStr">
        <is>
          <t>WEB-BASED PLAYSTATION RENTAL MANAGEMENT AND CONSOLE AVAILABILITY TRACKING SYSTEM</t>
        </is>
      </c>
      <c r="F13" s="16" t="n"/>
      <c r="G13" s="16" t="n"/>
      <c r="H13" s="16" t="n"/>
      <c r="I13" s="16" t="n"/>
      <c r="J13" s="16" t="n"/>
      <c r="K13" s="16" t="n"/>
      <c r="L13" s="11">
        <f>IF(COUNT(F13:K13)&lt;6,"",SUMPRODUCT(F13:K13,$F$6:$K$6)/SUM($F$6:$K$6)/5*100)</f>
        <v/>
      </c>
      <c r="M13" s="15" t="n"/>
      <c r="N13" s="17" t="inlineStr">
        <is>
          <t>Buka tautan Drive</t>
        </is>
      </c>
    </row>
    <row r="14">
      <c r="A14" s="9" t="n">
        <v>8</v>
      </c>
      <c r="B14" s="14" t="inlineStr">
        <is>
          <t>Kejar Detlen</t>
        </is>
      </c>
      <c r="C14" s="14" t="inlineStr">
        <is>
          <t>Syahrur Ramadhan</t>
        </is>
      </c>
      <c r="D14" s="15" t="inlineStr">
        <is>
          <t>Syahrur Ramadhan (254107020008)
Rafael Dimas C. L (254107020051)
Nurfakiyah Rahmadhani (254107020229)
Camelia Azzahra (242107071007)</t>
        </is>
      </c>
      <c r="E14" s="4" t="inlineStr">
        <is>
          <t>TEMUin</t>
        </is>
      </c>
      <c r="F14" s="16" t="n"/>
      <c r="G14" s="16" t="n"/>
      <c r="H14" s="16" t="n"/>
      <c r="I14" s="16" t="n"/>
      <c r="J14" s="16" t="n"/>
      <c r="K14" s="16" t="n"/>
      <c r="L14" s="11">
        <f>IF(COUNT(F14:K14)&lt;6,"",SUMPRODUCT(F14:K14,$F$6:$K$6)/SUM($F$6:$K$6)/5*100)</f>
        <v/>
      </c>
      <c r="M14" s="15" t="n"/>
      <c r="N14" s="17" t="inlineStr">
        <is>
          <t>Buka tautan Drive</t>
        </is>
      </c>
    </row>
  </sheetData>
  <mergeCells count="3">
    <mergeCell ref="A4:N4"/>
    <mergeCell ref="A2:N2"/>
    <mergeCell ref="A1:N1"/>
  </mergeCells>
  <dataValidations count="1">
    <dataValidation sqref="F7 F8 F9 F10 F11 F12 F13 F14 G7 G8 G9 G10 G11 G12 G13 G14 H7 H8 H9 H10 H11 H12 H13 H14 I7 I8 I9 I10 I11 I12 I13 I14 J7 J8 J9 J10 J11 J12 J13 J14 K7 K8 K9 K10 K11 K12 K13 K14"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4"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TI_2G - Dosen Pengampu: Indra Dharma Wijaya, ST., MMT. Dr.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Jawa</t>
        </is>
      </c>
      <c r="C7" s="14" t="inlineStr">
        <is>
          <t>Faren Hafiza Afanda</t>
        </is>
      </c>
      <c r="D7" s="15" t="inlineStr">
        <is>
          <t>Arga Chandra Wirawan (254107020023)
Faren Hafiza Afanda Muhammad Farhan (254107020025)
Pieter Hartanto Lesmana (254107020145)</t>
        </is>
      </c>
      <c r="E7" s="4" t="inlineStr">
        <is>
          <t>Sistem Presensi Berbasis Pemindaian Wajah dan Code QR</t>
        </is>
      </c>
      <c r="F7" s="16" t="n"/>
      <c r="G7" s="16" t="n"/>
      <c r="H7" s="16" t="n"/>
      <c r="I7" s="16" t="n"/>
      <c r="J7" s="16" t="n"/>
      <c r="K7" s="16" t="n"/>
      <c r="L7" s="11">
        <f>IF(COUNT(F7:K7)&lt;6,"",SUMPRODUCT(F7:K7,$F$6:$K$6)/SUM($F$6:$K$6)/5*100)</f>
        <v/>
      </c>
      <c r="M7" s="15" t="n"/>
      <c r="N7" s="17" t="inlineStr">
        <is>
          <t>Buka tautan Drive</t>
        </is>
      </c>
    </row>
    <row r="8">
      <c r="A8" s="9" t="n">
        <v>2</v>
      </c>
      <c r="B8" s="14" t="inlineStr">
        <is>
          <t>Pasukan Mie Ayam</t>
        </is>
      </c>
      <c r="C8" s="14" t="inlineStr">
        <is>
          <t>Yudhistira Andhika Hermawanto</t>
        </is>
      </c>
      <c r="D8" s="15" t="inlineStr">
        <is>
          <t>Alden Dzakwan S (254107020106)
Hafidza Tsamara Z (254107020034)
Lindhu Nuril R Yudhistira Andhika H (254107020216)</t>
        </is>
      </c>
      <c r="E8" s="4" t="inlineStr">
        <is>
          <t>NIMIE</t>
        </is>
      </c>
      <c r="F8" s="16" t="n"/>
      <c r="G8" s="16" t="n"/>
      <c r="H8" s="16" t="n"/>
      <c r="I8" s="16" t="n"/>
      <c r="J8" s="16" t="n"/>
      <c r="K8" s="16" t="n"/>
      <c r="L8" s="11">
        <f>IF(COUNT(F8:K8)&lt;6,"",SUMPRODUCT(F8:K8,$F$6:$K$6)/SUM($F$6:$K$6)/5*100)</f>
        <v/>
      </c>
      <c r="M8" s="15" t="n"/>
      <c r="N8" s="17" t="inlineStr">
        <is>
          <t>Buka tautan Drive</t>
        </is>
      </c>
    </row>
    <row r="9">
      <c r="A9" s="9" t="n">
        <v>3</v>
      </c>
      <c r="B9" s="14" t="inlineStr">
        <is>
          <t>Kelompok 2</t>
        </is>
      </c>
      <c r="C9" s="14" t="inlineStr">
        <is>
          <t>Muhammad Hafiz</t>
        </is>
      </c>
      <c r="D9" s="15" t="inlineStr">
        <is>
          <t>Ketua: Muhammad Hafiz</t>
        </is>
      </c>
      <c r="E9" s="4" t="inlineStr">
        <is>
          <t>TITIPIN</t>
        </is>
      </c>
      <c r="F9" s="16" t="n"/>
      <c r="G9" s="16" t="n"/>
      <c r="H9" s="16" t="n"/>
      <c r="I9" s="16" t="n"/>
      <c r="J9" s="16" t="n"/>
      <c r="K9" s="16" t="n"/>
      <c r="L9" s="11">
        <f>IF(COUNT(F9:K9)&lt;6,"",SUMPRODUCT(F9:K9,$F$6:$K$6)/SUM($F$6:$K$6)/5*100)</f>
        <v/>
      </c>
      <c r="M9" s="15" t="n"/>
      <c r="N9" s="17" t="inlineStr">
        <is>
          <t>Buka tautan Drive</t>
        </is>
      </c>
    </row>
    <row r="10">
      <c r="A10" s="9" t="n">
        <v>4</v>
      </c>
      <c r="B10" s="14" t="inlineStr">
        <is>
          <t>Tim Rak</t>
        </is>
      </c>
      <c r="C10" s="14" t="inlineStr">
        <is>
          <t>Attaqi Fadhil Arifianto</t>
        </is>
      </c>
      <c r="D10" s="15" t="inlineStr">
        <is>
          <t>Ketua: Attaqi Fadhil Arifianto</t>
        </is>
      </c>
      <c r="E10" s="4" t="inlineStr">
        <is>
          <t>SORTIK - Sistem Penyortiran Produk dan Katalog Toko Elektronik</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7</t>
        </is>
      </c>
      <c r="C11" s="14" t="inlineStr">
        <is>
          <t>Ibni Andarta</t>
        </is>
      </c>
      <c r="D11" s="15" t="inlineStr">
        <is>
          <t>Ketua: Ibni Andarta</t>
        </is>
      </c>
      <c r="E11" s="4" t="inlineStr">
        <is>
          <t>Sistem Informasi Manajemen Kas dan Keuangan Berbasis Web untuk Kelas dan Organisasi Skala Kecil.</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t>
        </is>
      </c>
      <c r="C12" s="14" t="inlineStr">
        <is>
          <t>Reyhandhika Zikri Prijadi</t>
        </is>
      </c>
      <c r="D12" s="15" t="inlineStr">
        <is>
          <t>Ketua: Reyhandhika Zikri Prijadi</t>
        </is>
      </c>
      <c r="E12" s="4" t="inlineStr">
        <is>
          <t>PREVO</t>
        </is>
      </c>
      <c r="F12" s="16" t="n"/>
      <c r="G12" s="16" t="n"/>
      <c r="H12" s="16" t="n"/>
      <c r="I12" s="16" t="n"/>
      <c r="J12" s="16" t="n"/>
      <c r="K12" s="16" t="n"/>
      <c r="L12" s="11">
        <f>IF(COUNT(F12:K12)&lt;6,"",SUMPRODUCT(F12:K12,$F$6:$K$6)/SUM($F$6:$K$6)/5*100)</f>
        <v/>
      </c>
      <c r="M12" s="15" t="n"/>
      <c r="N12" s="17" t="inlineStr">
        <is>
          <t>Buka tautan Drive</t>
        </is>
      </c>
    </row>
    <row r="13">
      <c r="A13" s="9" t="n">
        <v>7</v>
      </c>
      <c r="B13" s="14" t="inlineStr">
        <is>
          <t>Mepet Deadline</t>
        </is>
      </c>
      <c r="C13" s="14" t="inlineStr">
        <is>
          <t>Deras Pangestu Gusti</t>
        </is>
      </c>
      <c r="D13" s="15" t="inlineStr">
        <is>
          <t>Ketua: Deras Pangestu Gusti</t>
        </is>
      </c>
      <c r="E13" s="4" t="inlineStr">
        <is>
          <t>WEB-BASED PLAYSTATION RENTAL MANAGEMENT AND CONSOLE AVAILABILITY TRACKING SYSTEM</t>
        </is>
      </c>
      <c r="F13" s="16" t="n"/>
      <c r="G13" s="16" t="n"/>
      <c r="H13" s="16" t="n"/>
      <c r="I13" s="16" t="n"/>
      <c r="J13" s="16" t="n"/>
      <c r="K13" s="16" t="n"/>
      <c r="L13" s="11">
        <f>IF(COUNT(F13:K13)&lt;6,"",SUMPRODUCT(F13:K13,$F$6:$K$6)/SUM($F$6:$K$6)/5*100)</f>
        <v/>
      </c>
      <c r="M13" s="15" t="n"/>
      <c r="N13" s="17" t="inlineStr">
        <is>
          <t>Buka tautan Drive</t>
        </is>
      </c>
    </row>
    <row r="14">
      <c r="A14" s="9" t="n">
        <v>8</v>
      </c>
      <c r="B14" s="14" t="inlineStr">
        <is>
          <t>Kejar Detlen</t>
        </is>
      </c>
      <c r="C14" s="14" t="inlineStr">
        <is>
          <t>Syahrur Ramadhan</t>
        </is>
      </c>
      <c r="D14" s="15" t="inlineStr">
        <is>
          <t>Syahrur Ramadhan (254107020008)
Rafael Dimas C. L (254107020051)
Nurfakiyah Rahmadhani (254107020229)
Camelia Azzahra (242107071007)</t>
        </is>
      </c>
      <c r="E14" s="4" t="inlineStr">
        <is>
          <t>TEMUin</t>
        </is>
      </c>
      <c r="F14" s="16" t="n"/>
      <c r="G14" s="16" t="n"/>
      <c r="H14" s="16" t="n"/>
      <c r="I14" s="16" t="n"/>
      <c r="J14" s="16" t="n"/>
      <c r="K14" s="16" t="n"/>
      <c r="L14" s="11">
        <f>IF(COUNT(F14:K14)&lt;6,"",SUMPRODUCT(F14:K14,$F$6:$K$6)/SUM($F$6:$K$6)/5*100)</f>
        <v/>
      </c>
      <c r="M14" s="15" t="n"/>
      <c r="N14" s="17" t="inlineStr">
        <is>
          <t>Buka tautan Drive</t>
        </is>
      </c>
    </row>
  </sheetData>
  <mergeCells count="3">
    <mergeCell ref="A4:N4"/>
    <mergeCell ref="A2:N2"/>
    <mergeCell ref="A1:N1"/>
  </mergeCells>
  <dataValidations count="1">
    <dataValidation sqref="F7 F8 F9 F10 F11 F12 F13 F14 G7 G8 G9 G10 G11 G12 G13 G14 H7 H8 H9 H10 H11 H12 H13 H14 I7 I8 I9 I10 I11 I12 I13 I14 J7 J8 J9 J10 J11 J12 J13 J14 K7 K8 K9 K10 K11 K12 K13 K14"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4"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TI_2G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Tim Jawa</t>
        </is>
      </c>
      <c r="C5" s="14" t="inlineStr">
        <is>
          <t>Faren Hafiza Afanda</t>
        </is>
      </c>
      <c r="D5" s="4">
        <f>'Manajemen Proyek'!D7</f>
        <v/>
      </c>
      <c r="E5" s="4" t="inlineStr">
        <is>
          <t>Sistem Presensi Berbasis Pemindaian Wajah dan Code QR</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Pasukan Mie Ayam</t>
        </is>
      </c>
      <c r="C6" s="14" t="inlineStr">
        <is>
          <t>Yudhistira Andhika Hermawanto</t>
        </is>
      </c>
      <c r="D6" s="4">
        <f>'Manajemen Proyek'!D8</f>
        <v/>
      </c>
      <c r="E6" s="4" t="inlineStr">
        <is>
          <t>NIMIE</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Kelompok 2</t>
        </is>
      </c>
      <c r="C7" s="14" t="inlineStr">
        <is>
          <t>Muhammad Hafiz</t>
        </is>
      </c>
      <c r="D7" s="4">
        <f>'Manajemen Proyek'!D9</f>
        <v/>
      </c>
      <c r="E7" s="4" t="inlineStr">
        <is>
          <t>TITIPIN</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Tim Rak</t>
        </is>
      </c>
      <c r="C8" s="14" t="inlineStr">
        <is>
          <t>Attaqi Fadhil Arifianto</t>
        </is>
      </c>
      <c r="D8" s="4">
        <f>'Manajemen Proyek'!D10</f>
        <v/>
      </c>
      <c r="E8" s="4" t="inlineStr">
        <is>
          <t>SORTIK - Sistem Penyortiran Produk dan Katalog Toko Elektronik</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Tim 7</t>
        </is>
      </c>
      <c r="C9" s="14" t="inlineStr">
        <is>
          <t>Ibni Andarta</t>
        </is>
      </c>
      <c r="D9" s="4">
        <f>'Manajemen Proyek'!D11</f>
        <v/>
      </c>
      <c r="E9" s="4" t="inlineStr">
        <is>
          <t>Sistem Informasi Manajemen Kas dan Keuangan Berbasis Web untuk Kelas dan Organisasi Skala Kecil.</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Kelompok 3</t>
        </is>
      </c>
      <c r="C10" s="14" t="inlineStr">
        <is>
          <t>Reyhandhika Zikri Prijadi</t>
        </is>
      </c>
      <c r="D10" s="4">
        <f>'Manajemen Proyek'!D12</f>
        <v/>
      </c>
      <c r="E10" s="4" t="inlineStr">
        <is>
          <t>PREVO</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row r="11">
      <c r="A11" s="9" t="n">
        <v>7</v>
      </c>
      <c r="B11" s="14" t="inlineStr">
        <is>
          <t>Mepet Deadline</t>
        </is>
      </c>
      <c r="C11" s="14" t="inlineStr">
        <is>
          <t>Deras Pangestu Gusti</t>
        </is>
      </c>
      <c r="D11" s="4">
        <f>'Manajemen Proyek'!D13</f>
        <v/>
      </c>
      <c r="E11" s="4" t="inlineStr">
        <is>
          <t>WEB-BASED PLAYSTATION RENTAL MANAGEMENT AND CONSOLE AVAILABILITY TRACKING SYSTEM</t>
        </is>
      </c>
      <c r="F11" s="11">
        <f>'Manajemen Proyek'!L13</f>
        <v/>
      </c>
      <c r="G11" s="4">
        <f>'Manajemen Proyek'!M13</f>
        <v/>
      </c>
      <c r="H11" s="11">
        <f>'Desain &amp; Pemrograman Web'!L13</f>
        <v/>
      </c>
      <c r="I11" s="4">
        <f>'Desain &amp; Pemrograman Web'!M13</f>
        <v/>
      </c>
      <c r="J11" s="11">
        <f>'Basis Data Lanjut'!L13</f>
        <v/>
      </c>
      <c r="K11" s="4">
        <f>'Basis Data Lanjut'!M13</f>
        <v/>
      </c>
      <c r="L11" s="11">
        <f>'Sistem Informasi Manajemen'!L13</f>
        <v/>
      </c>
      <c r="M11" s="4">
        <f>'Sistem Informasi Manajemen'!M13</f>
        <v/>
      </c>
      <c r="N11" s="11">
        <f>IFERROR(AVERAGE(F11,H11,J11,L11),"")</f>
        <v/>
      </c>
      <c r="O11" s="17" t="inlineStr">
        <is>
          <t>Buka tautan Drive</t>
        </is>
      </c>
    </row>
    <row r="12">
      <c r="A12" s="9" t="n">
        <v>8</v>
      </c>
      <c r="B12" s="14" t="inlineStr">
        <is>
          <t>Kejar Detlen</t>
        </is>
      </c>
      <c r="C12" s="14" t="inlineStr">
        <is>
          <t>Syahrur Ramadhan</t>
        </is>
      </c>
      <c r="D12" s="4">
        <f>'Manajemen Proyek'!D14</f>
        <v/>
      </c>
      <c r="E12" s="4" t="inlineStr">
        <is>
          <t>TEMUin</t>
        </is>
      </c>
      <c r="F12" s="11">
        <f>'Manajemen Proyek'!L14</f>
        <v/>
      </c>
      <c r="G12" s="4">
        <f>'Manajemen Proyek'!M14</f>
        <v/>
      </c>
      <c r="H12" s="11">
        <f>'Desain &amp; Pemrograman Web'!L14</f>
        <v/>
      </c>
      <c r="I12" s="4">
        <f>'Desain &amp; Pemrograman Web'!M14</f>
        <v/>
      </c>
      <c r="J12" s="11">
        <f>'Basis Data Lanjut'!L14</f>
        <v/>
      </c>
      <c r="K12" s="4">
        <f>'Basis Data Lanjut'!M14</f>
        <v/>
      </c>
      <c r="L12" s="11">
        <f>'Sistem Informasi Manajemen'!L14</f>
        <v/>
      </c>
      <c r="M12" s="4">
        <f>'Sistem Informasi Manajemen'!M14</f>
        <v/>
      </c>
      <c r="N12" s="11">
        <f>IFERROR(AVERAGE(F12,H12,J12,L12),"")</f>
        <v/>
      </c>
      <c r="O12"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