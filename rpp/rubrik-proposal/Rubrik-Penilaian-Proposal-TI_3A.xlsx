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LFD_QM0TUYUXdPZkkM8HY9Ih1PPaEk9T" TargetMode="External" Id="rId1" /><Relationship Type="http://schemas.openxmlformats.org/officeDocument/2006/relationships/hyperlink" Target="https://drive.google.com/open?id=17sdiOBNx9nBykx2awLElZm8QWvSw3Fp8" TargetMode="External" Id="rId2" /><Relationship Type="http://schemas.openxmlformats.org/officeDocument/2006/relationships/hyperlink" Target="https://drive.google.com/open?id=1RutZKxvJYdH42vCepX-jvZpOYLDhB98t" TargetMode="External" Id="rId3" /><Relationship Type="http://schemas.openxmlformats.org/officeDocument/2006/relationships/hyperlink" Target="https://drive.google.com/open?id=1L8wRsd3ijDZ_Ak7P8Vd-Y1d9YBbTi5BO" TargetMode="External" Id="rId4" /><Relationship Type="http://schemas.openxmlformats.org/officeDocument/2006/relationships/hyperlink" Target="https://drive.google.com/open?id=1wP79wxjPyyh3DWDA5grg2ujaCl_vvucx" TargetMode="External" Id="rId5" /></Relationships>
</file>

<file path=xl/worksheets/_rels/sheet4.xml.rels><Relationships xmlns="http://schemas.openxmlformats.org/package/2006/relationships"><Relationship Type="http://schemas.openxmlformats.org/officeDocument/2006/relationships/hyperlink" Target="https://drive.google.com/open?id=1LFD_QM0TUYUXdPZkkM8HY9Ih1PPaEk9T" TargetMode="External" Id="rId1" /><Relationship Type="http://schemas.openxmlformats.org/officeDocument/2006/relationships/hyperlink" Target="https://drive.google.com/open?id=17sdiOBNx9nBykx2awLElZm8QWvSw3Fp8" TargetMode="External" Id="rId2" /><Relationship Type="http://schemas.openxmlformats.org/officeDocument/2006/relationships/hyperlink" Target="https://drive.google.com/open?id=1RutZKxvJYdH42vCepX-jvZpOYLDhB98t" TargetMode="External" Id="rId3" /><Relationship Type="http://schemas.openxmlformats.org/officeDocument/2006/relationships/hyperlink" Target="https://drive.google.com/open?id=1L8wRsd3ijDZ_Ak7P8Vd-Y1d9YBbTi5BO" TargetMode="External" Id="rId4" /><Relationship Type="http://schemas.openxmlformats.org/officeDocument/2006/relationships/hyperlink" Target="https://drive.google.com/open?id=1wP79wxjPyyh3DWDA5grg2ujaCl_vvucx" TargetMode="External" Id="rId5" /></Relationships>
</file>

<file path=xl/worksheets/_rels/sheet5.xml.rels><Relationships xmlns="http://schemas.openxmlformats.org/package/2006/relationships"><Relationship Type="http://schemas.openxmlformats.org/officeDocument/2006/relationships/hyperlink" Target="https://drive.google.com/open?id=1LFD_QM0TUYUXdPZkkM8HY9Ih1PPaEk9T" TargetMode="External" Id="rId1" /><Relationship Type="http://schemas.openxmlformats.org/officeDocument/2006/relationships/hyperlink" Target="https://drive.google.com/open?id=17sdiOBNx9nBykx2awLElZm8QWvSw3Fp8" TargetMode="External" Id="rId2" /><Relationship Type="http://schemas.openxmlformats.org/officeDocument/2006/relationships/hyperlink" Target="https://drive.google.com/open?id=1RutZKxvJYdH42vCepX-jvZpOYLDhB98t" TargetMode="External" Id="rId3" /><Relationship Type="http://schemas.openxmlformats.org/officeDocument/2006/relationships/hyperlink" Target="https://drive.google.com/open?id=1L8wRsd3ijDZ_Ak7P8Vd-Y1d9YBbTi5BO" TargetMode="External" Id="rId4" /><Relationship Type="http://schemas.openxmlformats.org/officeDocument/2006/relationships/hyperlink" Target="https://drive.google.com/open?id=1wP79wxjPyyh3DWDA5grg2ujaCl_vvucx" TargetMode="External" Id="rId5" /></Relationships>
</file>

<file path=xl/worksheets/_rels/sheet6.xml.rels><Relationships xmlns="http://schemas.openxmlformats.org/package/2006/relationships"><Relationship Type="http://schemas.openxmlformats.org/officeDocument/2006/relationships/hyperlink" Target="https://drive.google.com/open?id=1LFD_QM0TUYUXdPZkkM8HY9Ih1PPaEk9T" TargetMode="External" Id="rId1" /><Relationship Type="http://schemas.openxmlformats.org/officeDocument/2006/relationships/hyperlink" Target="https://drive.google.com/open?id=17sdiOBNx9nBykx2awLElZm8QWvSw3Fp8" TargetMode="External" Id="rId2" /><Relationship Type="http://schemas.openxmlformats.org/officeDocument/2006/relationships/hyperlink" Target="https://drive.google.com/open?id=1RutZKxvJYdH42vCepX-jvZpOYLDhB98t" TargetMode="External" Id="rId3" /><Relationship Type="http://schemas.openxmlformats.org/officeDocument/2006/relationships/hyperlink" Target="https://drive.google.com/open?id=1L8wRsd3ijDZ_Ak7P8Vd-Y1d9YBbTi5BO" TargetMode="External" Id="rId4" /><Relationship Type="http://schemas.openxmlformats.org/officeDocument/2006/relationships/hyperlink" Target="https://drive.google.com/open?id=1wP79wxjPyyh3DWDA5grg2ujaCl_vvucx" TargetMode="External" Id="rId5"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TI_3A</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TI_3A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TI_3A - Dosen Pengampu: Yoppy Yunhasnawa, S.ST., M.Sc.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Haji Koding</t>
        </is>
      </c>
      <c r="C7" s="14" t="inlineStr">
        <is>
          <t>Muhammad Ibnu Zauzi</t>
        </is>
      </c>
      <c r="D7" s="15" t="inlineStr">
        <is>
          <t>Femas Akbar Faturrohim (244107020200)
Kreszen Vallentino Arjuna Wijono (244107020206)
Mohammad Iqbal (244107020105)
Muhammad Ibnu Zauzi (244107020016)
Wandi (244107020003)</t>
        </is>
      </c>
      <c r="E7" s="4" t="inlineStr">
        <is>
          <t>PathFinder</t>
        </is>
      </c>
      <c r="F7" s="16" t="n"/>
      <c r="G7" s="16" t="n"/>
      <c r="H7" s="16" t="n"/>
      <c r="I7" s="16" t="n"/>
      <c r="J7" s="16" t="n"/>
      <c r="K7" s="16" t="n"/>
      <c r="L7" s="11">
        <f>IF(COUNT(F7:K7)&lt;6,"",SUMPRODUCT(F7:K7,$F$6:$K$6)/SUM($F$6:$K$6)/5*100)</f>
        <v/>
      </c>
      <c r="M7" s="15" t="n"/>
      <c r="N7" s="17" t="inlineStr">
        <is>
          <t>Buka tautan Drive</t>
        </is>
      </c>
    </row>
    <row r="8">
      <c r="A8" s="9" t="n">
        <v>2</v>
      </c>
      <c r="B8" s="14" t="inlineStr">
        <is>
          <t>PBL Kelompok 6</t>
        </is>
      </c>
      <c r="C8" s="14" t="inlineStr">
        <is>
          <t>Muhammad Christiano Olyvian Barini</t>
        </is>
      </c>
      <c r="D8" s="15" t="inlineStr">
        <is>
          <t>Muhammad Christiano Olyvian Barini (244107020169)
Abdul Muid (244107020006)
Farrel Andika Chandra (244107020168)
Abelas Solihin (244107020052)</t>
        </is>
      </c>
      <c r="E8" s="4" t="inlineStr">
        <is>
          <t>UMKM Sight: Sistem Prediksi &amp; Analisis Stok UMKM Berbasis Mobile Application dengan Menggunakan Metode Time Series Forecasting &amp; Automated Push Notification</t>
        </is>
      </c>
      <c r="F8" s="16" t="n"/>
      <c r="G8" s="16" t="n"/>
      <c r="H8" s="16" t="n"/>
      <c r="I8" s="16" t="n"/>
      <c r="J8" s="16" t="n"/>
      <c r="K8" s="16" t="n"/>
      <c r="L8" s="11">
        <f>IF(COUNT(F8:K8)&lt;6,"",SUMPRODUCT(F8:K8,$F$6:$K$6)/SUM($F$6:$K$6)/5*100)</f>
        <v/>
      </c>
      <c r="M8" s="15" t="n"/>
      <c r="N8" s="17" t="inlineStr">
        <is>
          <t>Buka tautan Drive</t>
        </is>
      </c>
    </row>
    <row r="9">
      <c r="A9" s="9" t="n">
        <v>3</v>
      </c>
      <c r="B9" s="14" t="inlineStr">
        <is>
          <t>3 Rasa 1 Kisah</t>
        </is>
      </c>
      <c r="C9" s="14" t="inlineStr">
        <is>
          <t>Raihan Akbar</t>
        </is>
      </c>
      <c r="D9" s="15" t="inlineStr">
        <is>
          <t>Raihan Akbar Putra P (244107020087)
Rivan Fahlul Fadillah (244107020239)
Rayana Hanindra Wibowo (244107020178)
Khesa Krensa A (244107020233)</t>
        </is>
      </c>
      <c r="E9" s="4" t="inlineStr">
        <is>
          <t>Scoutify: Sistem Pendukung Keputusan Perekrutan Pemain Sepak Bola Menggunakan Algoritma K-Nearest Neighbor (KNN) dan Metode SHAP pada Platform Android</t>
        </is>
      </c>
      <c r="F9" s="16" t="n"/>
      <c r="G9" s="16" t="n"/>
      <c r="H9" s="16" t="n"/>
      <c r="I9" s="16" t="n"/>
      <c r="J9" s="16" t="n"/>
      <c r="K9" s="16" t="n"/>
      <c r="L9" s="11">
        <f>IF(COUNT(F9:K9)&lt;6,"",SUMPRODUCT(F9:K9,$F$6:$K$6)/SUM($F$6:$K$6)/5*100)</f>
        <v/>
      </c>
      <c r="M9" s="15" t="n"/>
      <c r="N9" s="17" t="inlineStr">
        <is>
          <t>Buka tautan Drive</t>
        </is>
      </c>
    </row>
    <row r="10">
      <c r="A10" s="9" t="n">
        <v>4</v>
      </c>
      <c r="B10" s="14" t="inlineStr">
        <is>
          <t>INI ARAHNYA KEMANAA</t>
        </is>
      </c>
      <c r="C10" s="14" t="inlineStr">
        <is>
          <t>Dicky Darmawan</t>
        </is>
      </c>
      <c r="D10" s="15" t="inlineStr">
        <is>
          <t>Dicky Darmawan (244107020037)
Faiva Puspa Sahara (244107020036)
Muhammad Dwi Febrian (244107020081)
Nabil Hanief Mafazi (244107020114)
Siti Nikmatus Sholihah (244107020014)</t>
        </is>
      </c>
      <c r="E10" s="4" t="inlineStr">
        <is>
          <t>GrowWell: Prediksi Resiko Stunting pada Anak</t>
        </is>
      </c>
      <c r="F10" s="16" t="n"/>
      <c r="G10" s="16" t="n"/>
      <c r="H10" s="16" t="n"/>
      <c r="I10" s="16" t="n"/>
      <c r="J10" s="16" t="n"/>
      <c r="K10" s="16" t="n"/>
      <c r="L10" s="11">
        <f>IF(COUNT(F10:K10)&lt;6,"",SUMPRODUCT(F10:K10,$F$6:$K$6)/SUM($F$6:$K$6)/5*100)</f>
        <v/>
      </c>
      <c r="M10" s="15" t="n"/>
      <c r="N10" s="17" t="inlineStr">
        <is>
          <t>Buka tautan Drive</t>
        </is>
      </c>
    </row>
    <row r="11">
      <c r="A11" s="9" t="n">
        <v>5</v>
      </c>
      <c r="B11" s="14" t="inlineStr">
        <is>
          <t>Pasukan Tidak Magang</t>
        </is>
      </c>
      <c r="C11" s="14" t="inlineStr">
        <is>
          <t>Fajar Eka Sandiyuda</t>
        </is>
      </c>
      <c r="D11" s="15" t="inlineStr">
        <is>
          <t>Fajar Eka Sandiyuda (244107020043)
Ananda Priya Yustira (244107020131)
Sheilandra Zarawiba (244107020110)
Na’ilah Salsabila M (244107020120)</t>
        </is>
      </c>
      <c r="E11" s="4" t="inlineStr">
        <is>
          <t>Platform Marketplace Properti Berbasis Machine Learning untuk Prediksi Harga Rumah dan Rekomendasi Properti</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TI_3A - Dosen Pengampu: Ely Setyo Astuti, ST., MT. Dr.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Haji Koding</t>
        </is>
      </c>
      <c r="C7" s="14" t="inlineStr">
        <is>
          <t>Muhammad Ibnu Zauzi</t>
        </is>
      </c>
      <c r="D7" s="15" t="inlineStr">
        <is>
          <t>Femas Akbar Faturrohim (244107020200)
Kreszen Vallentino Arjuna Wijono (244107020206)
Mohammad Iqbal (244107020105)
Muhammad Ibnu Zauzi (244107020016)
Wandi (244107020003)</t>
        </is>
      </c>
      <c r="E7" s="4" t="inlineStr">
        <is>
          <t>PathFinder</t>
        </is>
      </c>
      <c r="F7" s="16" t="n"/>
      <c r="G7" s="16" t="n"/>
      <c r="H7" s="16" t="n"/>
      <c r="I7" s="16" t="n"/>
      <c r="J7" s="16" t="n"/>
      <c r="K7" s="16" t="n"/>
      <c r="L7" s="11">
        <f>IF(COUNT(F7:K7)&lt;6,"",SUMPRODUCT(F7:K7,$F$6:$K$6)/SUM($F$6:$K$6)/5*100)</f>
        <v/>
      </c>
      <c r="M7" s="15" t="n"/>
      <c r="N7" s="17" t="inlineStr">
        <is>
          <t>Buka tautan Drive</t>
        </is>
      </c>
    </row>
    <row r="8">
      <c r="A8" s="9" t="n">
        <v>2</v>
      </c>
      <c r="B8" s="14" t="inlineStr">
        <is>
          <t>PBL Kelompok 6</t>
        </is>
      </c>
      <c r="C8" s="14" t="inlineStr">
        <is>
          <t>Muhammad Christiano Olyvian Barini</t>
        </is>
      </c>
      <c r="D8" s="15" t="inlineStr">
        <is>
          <t>Muhammad Christiano Olyvian Barini (244107020169)
Abdul Muid (244107020006)
Farrel Andika Chandra (244107020168)
Abelas Solihin (244107020052)</t>
        </is>
      </c>
      <c r="E8" s="4" t="inlineStr">
        <is>
          <t>UMKM Sight: Sistem Prediksi &amp; Analisis Stok UMKM Berbasis Mobile Application dengan Menggunakan Metode Time Series Forecasting &amp; Automated Push Notification</t>
        </is>
      </c>
      <c r="F8" s="16" t="n"/>
      <c r="G8" s="16" t="n"/>
      <c r="H8" s="16" t="n"/>
      <c r="I8" s="16" t="n"/>
      <c r="J8" s="16" t="n"/>
      <c r="K8" s="16" t="n"/>
      <c r="L8" s="11">
        <f>IF(COUNT(F8:K8)&lt;6,"",SUMPRODUCT(F8:K8,$F$6:$K$6)/SUM($F$6:$K$6)/5*100)</f>
        <v/>
      </c>
      <c r="M8" s="15" t="n"/>
      <c r="N8" s="17" t="inlineStr">
        <is>
          <t>Buka tautan Drive</t>
        </is>
      </c>
    </row>
    <row r="9">
      <c r="A9" s="9" t="n">
        <v>3</v>
      </c>
      <c r="B9" s="14" t="inlineStr">
        <is>
          <t>3 Rasa 1 Kisah</t>
        </is>
      </c>
      <c r="C9" s="14" t="inlineStr">
        <is>
          <t>Raihan Akbar</t>
        </is>
      </c>
      <c r="D9" s="15" t="inlineStr">
        <is>
          <t>Raihan Akbar Putra P (244107020087)
Rivan Fahlul Fadillah (244107020239)
Rayana Hanindra Wibowo (244107020178)
Khesa Krensa A (244107020233)</t>
        </is>
      </c>
      <c r="E9" s="4" t="inlineStr">
        <is>
          <t>Scoutify: Sistem Pendukung Keputusan Perekrutan Pemain Sepak Bola Menggunakan Algoritma K-Nearest Neighbor (KNN) dan Metode SHAP pada Platform Android</t>
        </is>
      </c>
      <c r="F9" s="16" t="n"/>
      <c r="G9" s="16" t="n"/>
      <c r="H9" s="16" t="n"/>
      <c r="I9" s="16" t="n"/>
      <c r="J9" s="16" t="n"/>
      <c r="K9" s="16" t="n"/>
      <c r="L9" s="11">
        <f>IF(COUNT(F9:K9)&lt;6,"",SUMPRODUCT(F9:K9,$F$6:$K$6)/SUM($F$6:$K$6)/5*100)</f>
        <v/>
      </c>
      <c r="M9" s="15" t="n"/>
      <c r="N9" s="17" t="inlineStr">
        <is>
          <t>Buka tautan Drive</t>
        </is>
      </c>
    </row>
    <row r="10">
      <c r="A10" s="9" t="n">
        <v>4</v>
      </c>
      <c r="B10" s="14" t="inlineStr">
        <is>
          <t>INI ARAHNYA KEMANAA</t>
        </is>
      </c>
      <c r="C10" s="14" t="inlineStr">
        <is>
          <t>Dicky Darmawan</t>
        </is>
      </c>
      <c r="D10" s="15" t="inlineStr">
        <is>
          <t>Dicky Darmawan (244107020037)
Faiva Puspa Sahara (244107020036)
Muhammad Dwi Febrian (244107020081)
Nabil Hanief Mafazi (244107020114)
Siti Nikmatus Sholihah (244107020014)</t>
        </is>
      </c>
      <c r="E10" s="4" t="inlineStr">
        <is>
          <t>GrowWell: Prediksi Resiko Stunting pada Anak</t>
        </is>
      </c>
      <c r="F10" s="16" t="n"/>
      <c r="G10" s="16" t="n"/>
      <c r="H10" s="16" t="n"/>
      <c r="I10" s="16" t="n"/>
      <c r="J10" s="16" t="n"/>
      <c r="K10" s="16" t="n"/>
      <c r="L10" s="11">
        <f>IF(COUNT(F10:K10)&lt;6,"",SUMPRODUCT(F10:K10,$F$6:$K$6)/SUM($F$6:$K$6)/5*100)</f>
        <v/>
      </c>
      <c r="M10" s="15" t="n"/>
      <c r="N10" s="17" t="inlineStr">
        <is>
          <t>Buka tautan Drive</t>
        </is>
      </c>
    </row>
    <row r="11">
      <c r="A11" s="9" t="n">
        <v>5</v>
      </c>
      <c r="B11" s="14" t="inlineStr">
        <is>
          <t>Pasukan Tidak Magang</t>
        </is>
      </c>
      <c r="C11" s="14" t="inlineStr">
        <is>
          <t>Fajar Eka Sandiyuda</t>
        </is>
      </c>
      <c r="D11" s="15" t="inlineStr">
        <is>
          <t>Fajar Eka Sandiyuda (244107020043)
Ananda Priya Yustira (244107020131)
Sheilandra Zarawiba (244107020110)
Na’ilah Salsabila M (244107020120)</t>
        </is>
      </c>
      <c r="E11" s="4" t="inlineStr">
        <is>
          <t>Platform Marketplace Properti Berbasis Machine Learning untuk Prediksi Harga Rumah dan Rekomendasi Properti</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TI_3A - Dosen Pengampu: Dika Rizky Yunianto,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Haji Koding</t>
        </is>
      </c>
      <c r="C7" s="14" t="inlineStr">
        <is>
          <t>Muhammad Ibnu Zauzi</t>
        </is>
      </c>
      <c r="D7" s="15" t="inlineStr">
        <is>
          <t>Femas Akbar Faturrohim (244107020200)
Kreszen Vallentino Arjuna Wijono (244107020206)
Mohammad Iqbal (244107020105)
Muhammad Ibnu Zauzi (244107020016)
Wandi (244107020003)</t>
        </is>
      </c>
      <c r="E7" s="4" t="inlineStr">
        <is>
          <t>PathFinder</t>
        </is>
      </c>
      <c r="F7" s="16" t="n"/>
      <c r="G7" s="16" t="n"/>
      <c r="H7" s="16" t="n"/>
      <c r="I7" s="16" t="n"/>
      <c r="J7" s="16" t="n"/>
      <c r="K7" s="16" t="n"/>
      <c r="L7" s="11">
        <f>IF(COUNT(F7:K7)&lt;6,"",SUMPRODUCT(F7:K7,$F$6:$K$6)/SUM($F$6:$K$6)/5*100)</f>
        <v/>
      </c>
      <c r="M7" s="15" t="n"/>
      <c r="N7" s="17" t="inlineStr">
        <is>
          <t>Buka tautan Drive</t>
        </is>
      </c>
    </row>
    <row r="8">
      <c r="A8" s="9" t="n">
        <v>2</v>
      </c>
      <c r="B8" s="14" t="inlineStr">
        <is>
          <t>PBL Kelompok 6</t>
        </is>
      </c>
      <c r="C8" s="14" t="inlineStr">
        <is>
          <t>Muhammad Christiano Olyvian Barini</t>
        </is>
      </c>
      <c r="D8" s="15" t="inlineStr">
        <is>
          <t>Muhammad Christiano Olyvian Barini (244107020169)
Abdul Muid (244107020006)
Farrel Andika Chandra (244107020168)
Abelas Solihin (244107020052)</t>
        </is>
      </c>
      <c r="E8" s="4" t="inlineStr">
        <is>
          <t>UMKM Sight: Sistem Prediksi &amp; Analisis Stok UMKM Berbasis Mobile Application dengan Menggunakan Metode Time Series Forecasting &amp; Automated Push Notification</t>
        </is>
      </c>
      <c r="F8" s="16" t="n"/>
      <c r="G8" s="16" t="n"/>
      <c r="H8" s="16" t="n"/>
      <c r="I8" s="16" t="n"/>
      <c r="J8" s="16" t="n"/>
      <c r="K8" s="16" t="n"/>
      <c r="L8" s="11">
        <f>IF(COUNT(F8:K8)&lt;6,"",SUMPRODUCT(F8:K8,$F$6:$K$6)/SUM($F$6:$K$6)/5*100)</f>
        <v/>
      </c>
      <c r="M8" s="15" t="n"/>
      <c r="N8" s="17" t="inlineStr">
        <is>
          <t>Buka tautan Drive</t>
        </is>
      </c>
    </row>
    <row r="9">
      <c r="A9" s="9" t="n">
        <v>3</v>
      </c>
      <c r="B9" s="14" t="inlineStr">
        <is>
          <t>3 Rasa 1 Kisah</t>
        </is>
      </c>
      <c r="C9" s="14" t="inlineStr">
        <is>
          <t>Raihan Akbar</t>
        </is>
      </c>
      <c r="D9" s="15" t="inlineStr">
        <is>
          <t>Raihan Akbar Putra P (244107020087)
Rivan Fahlul Fadillah (244107020239)
Rayana Hanindra Wibowo (244107020178)
Khesa Krensa A (244107020233)</t>
        </is>
      </c>
      <c r="E9" s="4" t="inlineStr">
        <is>
          <t>Scoutify: Sistem Pendukung Keputusan Perekrutan Pemain Sepak Bola Menggunakan Algoritma K-Nearest Neighbor (KNN) dan Metode SHAP pada Platform Android</t>
        </is>
      </c>
      <c r="F9" s="16" t="n"/>
      <c r="G9" s="16" t="n"/>
      <c r="H9" s="16" t="n"/>
      <c r="I9" s="16" t="n"/>
      <c r="J9" s="16" t="n"/>
      <c r="K9" s="16" t="n"/>
      <c r="L9" s="11">
        <f>IF(COUNT(F9:K9)&lt;6,"",SUMPRODUCT(F9:K9,$F$6:$K$6)/SUM($F$6:$K$6)/5*100)</f>
        <v/>
      </c>
      <c r="M9" s="15" t="n"/>
      <c r="N9" s="17" t="inlineStr">
        <is>
          <t>Buka tautan Drive</t>
        </is>
      </c>
    </row>
    <row r="10">
      <c r="A10" s="9" t="n">
        <v>4</v>
      </c>
      <c r="B10" s="14" t="inlineStr">
        <is>
          <t>INI ARAHNYA KEMANAA</t>
        </is>
      </c>
      <c r="C10" s="14" t="inlineStr">
        <is>
          <t>Dicky Darmawan</t>
        </is>
      </c>
      <c r="D10" s="15" t="inlineStr">
        <is>
          <t>Dicky Darmawan (244107020037)
Faiva Puspa Sahara (244107020036)
Muhammad Dwi Febrian (244107020081)
Nabil Hanief Mafazi (244107020114)
Siti Nikmatus Sholihah (244107020014)</t>
        </is>
      </c>
      <c r="E10" s="4" t="inlineStr">
        <is>
          <t>GrowWell: Prediksi Resiko Stunting pada Anak</t>
        </is>
      </c>
      <c r="F10" s="16" t="n"/>
      <c r="G10" s="16" t="n"/>
      <c r="H10" s="16" t="n"/>
      <c r="I10" s="16" t="n"/>
      <c r="J10" s="16" t="n"/>
      <c r="K10" s="16" t="n"/>
      <c r="L10" s="11">
        <f>IF(COUNT(F10:K10)&lt;6,"",SUMPRODUCT(F10:K10,$F$6:$K$6)/SUM($F$6:$K$6)/5*100)</f>
        <v/>
      </c>
      <c r="M10" s="15" t="n"/>
      <c r="N10" s="17" t="inlineStr">
        <is>
          <t>Buka tautan Drive</t>
        </is>
      </c>
    </row>
    <row r="11">
      <c r="A11" s="9" t="n">
        <v>5</v>
      </c>
      <c r="B11" s="14" t="inlineStr">
        <is>
          <t>Pasukan Tidak Magang</t>
        </is>
      </c>
      <c r="C11" s="14" t="inlineStr">
        <is>
          <t>Fajar Eka Sandiyuda</t>
        </is>
      </c>
      <c r="D11" s="15" t="inlineStr">
        <is>
          <t>Fajar Eka Sandiyuda (244107020043)
Ananda Priya Yustira (244107020131)
Sheilandra Zarawiba (244107020110)
Na’ilah Salsabila M (244107020120)</t>
        </is>
      </c>
      <c r="E11" s="4" t="inlineStr">
        <is>
          <t>Platform Marketplace Properti Berbasis Machine Learning untuk Prediksi Harga Rumah dan Rekomendasi Properti</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TI_3A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Haji Koding</t>
        </is>
      </c>
      <c r="C5" s="14" t="inlineStr">
        <is>
          <t>Muhammad Ibnu Zauzi</t>
        </is>
      </c>
      <c r="D5" s="4">
        <f>'Pemrograman Mobile'!D7</f>
        <v/>
      </c>
      <c r="E5" s="4" t="inlineStr">
        <is>
          <t>PathFinder</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PBL Kelompok 6</t>
        </is>
      </c>
      <c r="C6" s="14" t="inlineStr">
        <is>
          <t>Muhammad Christiano Olyvian Barini</t>
        </is>
      </c>
      <c r="D6" s="4">
        <f>'Pemrograman Mobile'!D8</f>
        <v/>
      </c>
      <c r="E6" s="4" t="inlineStr">
        <is>
          <t>UMKM Sight: Sistem Prediksi &amp; Analisis Stok UMKM Berbasis Mobile Application dengan Menggunakan Metode Time Series Forecasting &amp; Automated Push Notification</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3 Rasa 1 Kisah</t>
        </is>
      </c>
      <c r="C7" s="14" t="inlineStr">
        <is>
          <t>Raihan Akbar</t>
        </is>
      </c>
      <c r="D7" s="4">
        <f>'Pemrograman Mobile'!D9</f>
        <v/>
      </c>
      <c r="E7" s="4" t="inlineStr">
        <is>
          <t>Scoutify: Sistem Pendukung Keputusan Perekrutan Pemain Sepak Bola Menggunakan Algoritma K-Nearest Neighbor (KNN) dan Metode SHAP pada Platform Android</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INI ARAHNYA KEMANAA</t>
        </is>
      </c>
      <c r="C8" s="14" t="inlineStr">
        <is>
          <t>Dicky Darmawan</t>
        </is>
      </c>
      <c r="D8" s="4">
        <f>'Pemrograman Mobile'!D10</f>
        <v/>
      </c>
      <c r="E8" s="4" t="inlineStr">
        <is>
          <t>GrowWell: Prediksi Resiko Stunting pada Anak</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row r="9">
      <c r="A9" s="9" t="n">
        <v>5</v>
      </c>
      <c r="B9" s="14" t="inlineStr">
        <is>
          <t>Pasukan Tidak Magang</t>
        </is>
      </c>
      <c r="C9" s="14" t="inlineStr">
        <is>
          <t>Fajar Eka Sandiyuda</t>
        </is>
      </c>
      <c r="D9" s="4">
        <f>'Pemrograman Mobile'!D11</f>
        <v/>
      </c>
      <c r="E9" s="4" t="inlineStr">
        <is>
          <t>Platform Marketplace Properti Berbasis Machine Learning untuk Prediksi Harga Rumah dan Rekomendasi Properti</t>
        </is>
      </c>
      <c r="F9" s="11">
        <f>'Pemrograman Mobile'!L11</f>
        <v/>
      </c>
      <c r="G9" s="4">
        <f>'Pemrograman Mobile'!M11</f>
        <v/>
      </c>
      <c r="H9" s="11">
        <f>'Pembelajaran Mesin'!L11</f>
        <v/>
      </c>
      <c r="I9" s="4">
        <f>'Pembelajaran Mesin'!M11</f>
        <v/>
      </c>
      <c r="J9" s="11">
        <f>'Penjaminan Mutu Perangkat Lunak'!L11</f>
        <v/>
      </c>
      <c r="K9" s="4">
        <f>'Penjaminan Mutu Perangkat Lunak'!M11</f>
        <v/>
      </c>
      <c r="L9" s="11">
        <f>IFERROR(AVERAGE(F9,H9,J9),"")</f>
        <v/>
      </c>
      <c r="M9"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