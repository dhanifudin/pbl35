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YTg0w_SV8RYt1oHi8RXJCwfItOqiNOC2" TargetMode="External" Id="rId1" /><Relationship Type="http://schemas.openxmlformats.org/officeDocument/2006/relationships/hyperlink" Target="https://drive.google.com/open?id=1_aZINU-rLcxedB1JIEY3N6KFYNtldHa6" TargetMode="External" Id="rId2" /><Relationship Type="http://schemas.openxmlformats.org/officeDocument/2006/relationships/hyperlink" Target="https://drive.google.com/open?id=1tkjCxS81dtJ5kVSm2zFDx2yfB8XOXQys" TargetMode="External" Id="rId3" /><Relationship Type="http://schemas.openxmlformats.org/officeDocument/2006/relationships/hyperlink" Target="https://drive.google.com/open?id=1mt_BqTygz9hvSlxIwJtw0fBttkqia0sZ" TargetMode="External" Id="rId4" /><Relationship Type="http://schemas.openxmlformats.org/officeDocument/2006/relationships/hyperlink" Target="https://drive.google.com/open?id=1XoDzQ-csQPpBSI0DWRmjwXO9Sufg8g5p" TargetMode="External" Id="rId5" /><Relationship Type="http://schemas.openxmlformats.org/officeDocument/2006/relationships/hyperlink" Target="https://drive.google.com/open?id=13rn1VKVo8kNy5nUk_n-4kZ0T03ovrX1I" TargetMode="External" Id="rId6" /></Relationships>
</file>

<file path=xl/worksheets/_rels/sheet4.xml.rels><Relationships xmlns="http://schemas.openxmlformats.org/package/2006/relationships"><Relationship Type="http://schemas.openxmlformats.org/officeDocument/2006/relationships/hyperlink" Target="https://drive.google.com/open?id=1YTg0w_SV8RYt1oHi8RXJCwfItOqiNOC2" TargetMode="External" Id="rId1" /><Relationship Type="http://schemas.openxmlformats.org/officeDocument/2006/relationships/hyperlink" Target="https://drive.google.com/open?id=1_aZINU-rLcxedB1JIEY3N6KFYNtldHa6" TargetMode="External" Id="rId2" /><Relationship Type="http://schemas.openxmlformats.org/officeDocument/2006/relationships/hyperlink" Target="https://drive.google.com/open?id=1tkjCxS81dtJ5kVSm2zFDx2yfB8XOXQys" TargetMode="External" Id="rId3" /><Relationship Type="http://schemas.openxmlformats.org/officeDocument/2006/relationships/hyperlink" Target="https://drive.google.com/open?id=1mt_BqTygz9hvSlxIwJtw0fBttkqia0sZ" TargetMode="External" Id="rId4" /><Relationship Type="http://schemas.openxmlformats.org/officeDocument/2006/relationships/hyperlink" Target="https://drive.google.com/open?id=1XoDzQ-csQPpBSI0DWRmjwXO9Sufg8g5p" TargetMode="External" Id="rId5" /><Relationship Type="http://schemas.openxmlformats.org/officeDocument/2006/relationships/hyperlink" Target="https://drive.google.com/open?id=13rn1VKVo8kNy5nUk_n-4kZ0T03ovrX1I" TargetMode="External" Id="rId6" /></Relationships>
</file>

<file path=xl/worksheets/_rels/sheet5.xml.rels><Relationships xmlns="http://schemas.openxmlformats.org/package/2006/relationships"><Relationship Type="http://schemas.openxmlformats.org/officeDocument/2006/relationships/hyperlink" Target="https://drive.google.com/open?id=1YTg0w_SV8RYt1oHi8RXJCwfItOqiNOC2" TargetMode="External" Id="rId1" /><Relationship Type="http://schemas.openxmlformats.org/officeDocument/2006/relationships/hyperlink" Target="https://drive.google.com/open?id=1_aZINU-rLcxedB1JIEY3N6KFYNtldHa6" TargetMode="External" Id="rId2" /><Relationship Type="http://schemas.openxmlformats.org/officeDocument/2006/relationships/hyperlink" Target="https://drive.google.com/open?id=1tkjCxS81dtJ5kVSm2zFDx2yfB8XOXQys" TargetMode="External" Id="rId3" /><Relationship Type="http://schemas.openxmlformats.org/officeDocument/2006/relationships/hyperlink" Target="https://drive.google.com/open?id=1mt_BqTygz9hvSlxIwJtw0fBttkqia0sZ" TargetMode="External" Id="rId4" /><Relationship Type="http://schemas.openxmlformats.org/officeDocument/2006/relationships/hyperlink" Target="https://drive.google.com/open?id=1XoDzQ-csQPpBSI0DWRmjwXO9Sufg8g5p" TargetMode="External" Id="rId5" /><Relationship Type="http://schemas.openxmlformats.org/officeDocument/2006/relationships/hyperlink" Target="https://drive.google.com/open?id=13rn1VKVo8kNy5nUk_n-4kZ0T03ovrX1I" TargetMode="External" Id="rId6" /></Relationships>
</file>

<file path=xl/worksheets/_rels/sheet6.xml.rels><Relationships xmlns="http://schemas.openxmlformats.org/package/2006/relationships"><Relationship Type="http://schemas.openxmlformats.org/officeDocument/2006/relationships/hyperlink" Target="https://drive.google.com/open?id=1YTg0w_SV8RYt1oHi8RXJCwfItOqiNOC2" TargetMode="External" Id="rId1" /><Relationship Type="http://schemas.openxmlformats.org/officeDocument/2006/relationships/hyperlink" Target="https://drive.google.com/open?id=1_aZINU-rLcxedB1JIEY3N6KFYNtldHa6" TargetMode="External" Id="rId2" /><Relationship Type="http://schemas.openxmlformats.org/officeDocument/2006/relationships/hyperlink" Target="https://drive.google.com/open?id=1tkjCxS81dtJ5kVSm2zFDx2yfB8XOXQys" TargetMode="External" Id="rId3" /><Relationship Type="http://schemas.openxmlformats.org/officeDocument/2006/relationships/hyperlink" Target="https://drive.google.com/open?id=1mt_BqTygz9hvSlxIwJtw0fBttkqia0sZ" TargetMode="External" Id="rId4" /><Relationship Type="http://schemas.openxmlformats.org/officeDocument/2006/relationships/hyperlink" Target="https://drive.google.com/open?id=1XoDzQ-csQPpBSI0DWRmjwXO9Sufg8g5p" TargetMode="External" Id="rId5" /><Relationship Type="http://schemas.openxmlformats.org/officeDocument/2006/relationships/hyperlink" Target="https://drive.google.com/open?id=13rn1VKVo8kNy5nUk_n-4kZ0T03ovrX1I" TargetMode="External" Id="rId6" /></Relationships>
</file>

<file path=xl/worksheets/_rels/sheet7.xml.rels><Relationships xmlns="http://schemas.openxmlformats.org/package/2006/relationships"><Relationship Type="http://schemas.openxmlformats.org/officeDocument/2006/relationships/hyperlink" Target="https://drive.google.com/open?id=1YTg0w_SV8RYt1oHi8RXJCwfItOqiNOC2" TargetMode="External" Id="rId1" /><Relationship Type="http://schemas.openxmlformats.org/officeDocument/2006/relationships/hyperlink" Target="https://drive.google.com/open?id=1_aZINU-rLcxedB1JIEY3N6KFYNtldHa6" TargetMode="External" Id="rId2" /><Relationship Type="http://schemas.openxmlformats.org/officeDocument/2006/relationships/hyperlink" Target="https://drive.google.com/open?id=1tkjCxS81dtJ5kVSm2zFDx2yfB8XOXQys" TargetMode="External" Id="rId3" /><Relationship Type="http://schemas.openxmlformats.org/officeDocument/2006/relationships/hyperlink" Target="https://drive.google.com/open?id=1mt_BqTygz9hvSlxIwJtw0fBttkqia0sZ" TargetMode="External" Id="rId4" /><Relationship Type="http://schemas.openxmlformats.org/officeDocument/2006/relationships/hyperlink" Target="https://drive.google.com/open?id=1XoDzQ-csQPpBSI0DWRmjwXO9Sufg8g5p" TargetMode="External" Id="rId5" /><Relationship Type="http://schemas.openxmlformats.org/officeDocument/2006/relationships/hyperlink" Target="https://drive.google.com/open?id=13rn1VKVo8kNy5nUk_n-4kZ0T03ovrX1I"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TI_2H</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TI_2H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TI_2H - Dosen Pengampu: Titis Octary Satrio, S.ST.,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SAKTI</t>
        </is>
      </c>
      <c r="C7" s="14" t="inlineStr">
        <is>
          <t>Andreas Imanuel Wicaksono</t>
        </is>
      </c>
      <c r="D7" s="15" t="inlineStr">
        <is>
          <t>Andreas Imanuel Wicaksono (254107020143)
Saumi Yahya Suryadi (254107020137)
Resya Fajar Putra Pratama (254107020124)
Nahzul Balaghoh (254107020156)
Maulana Al Jabbar.Z (254107020054)</t>
        </is>
      </c>
      <c r="E7" s="4" t="inlineStr">
        <is>
          <t>SAKTI: Sistem Antrean Kantin Terintegrasi</t>
        </is>
      </c>
      <c r="F7" s="16" t="n"/>
      <c r="G7" s="16" t="n"/>
      <c r="H7" s="16" t="n"/>
      <c r="I7" s="16" t="n"/>
      <c r="J7" s="16" t="n"/>
      <c r="K7" s="16" t="n"/>
      <c r="L7" s="11">
        <f>IF(COUNT(F7:K7)&lt;6,"",SUMPRODUCT(F7:K7,$F$6:$K$6)/SUM($F$6:$K$6)/5*100)</f>
        <v/>
      </c>
      <c r="M7" s="15" t="n"/>
      <c r="N7" s="17" t="inlineStr">
        <is>
          <t>Buka tautan Drive</t>
        </is>
      </c>
    </row>
    <row r="8">
      <c r="A8" s="9" t="n">
        <v>2</v>
      </c>
      <c r="B8" s="14" t="inlineStr">
        <is>
          <t>SIKATABIS</t>
        </is>
      </c>
      <c r="C8" s="14" t="inlineStr">
        <is>
          <t>Lembah Manah</t>
        </is>
      </c>
      <c r="D8" s="15" t="inlineStr">
        <is>
          <t>Ketua: Lembah Manah</t>
        </is>
      </c>
      <c r="E8" s="4" t="inlineStr">
        <is>
          <t>SIKAT (Sistem Informasi Katering)</t>
        </is>
      </c>
      <c r="F8" s="16" t="n"/>
      <c r="G8" s="16" t="n"/>
      <c r="H8" s="16" t="n"/>
      <c r="I8" s="16" t="n"/>
      <c r="J8" s="16" t="n"/>
      <c r="K8" s="16" t="n"/>
      <c r="L8" s="11">
        <f>IF(COUNT(F8:K8)&lt;6,"",SUMPRODUCT(F8:K8,$F$6:$K$6)/SUM($F$6:$K$6)/5*100)</f>
        <v/>
      </c>
      <c r="M8" s="15" t="n"/>
      <c r="N8" s="17" t="inlineStr">
        <is>
          <t>Buka tautan Drive</t>
        </is>
      </c>
    </row>
    <row r="9">
      <c r="A9" s="9" t="n">
        <v>3</v>
      </c>
      <c r="B9" s="14" t="inlineStr">
        <is>
          <t>WebNest</t>
        </is>
      </c>
      <c r="C9" s="14" t="inlineStr">
        <is>
          <t>Zona Firman Maulana</t>
        </is>
      </c>
      <c r="D9" s="15" t="inlineStr">
        <is>
          <t>Ketua: Zona Firman Maulana</t>
        </is>
      </c>
      <c r="E9" s="4" t="inlineStr">
        <is>
          <t>KosinAja: SISTEM INFORMASI PENCARIAN KOS DAN RESERVASI BERBASIS WEB</t>
        </is>
      </c>
      <c r="F9" s="16" t="n"/>
      <c r="G9" s="16" t="n"/>
      <c r="H9" s="16" t="n"/>
      <c r="I9" s="16" t="n"/>
      <c r="J9" s="16" t="n"/>
      <c r="K9" s="16" t="n"/>
      <c r="L9" s="11">
        <f>IF(COUNT(F9:K9)&lt;6,"",SUMPRODUCT(F9:K9,$F$6:$K$6)/SUM($F$6:$K$6)/5*100)</f>
        <v/>
      </c>
      <c r="M9" s="15" t="n"/>
      <c r="N9" s="17" t="inlineStr">
        <is>
          <t>Buka tautan Drive</t>
        </is>
      </c>
    </row>
    <row r="10">
      <c r="A10" s="9" t="n">
        <v>4</v>
      </c>
      <c r="B10" s="14" t="inlineStr">
        <is>
          <t>Tim Servitory</t>
        </is>
      </c>
      <c r="C10" s="14" t="inlineStr">
        <is>
          <t>Agrisyandi Maraja Hutabarat</t>
        </is>
      </c>
      <c r="D10" s="15" t="inlineStr">
        <is>
          <t>Ketua: Agrisyandi Maraja Hutabarat</t>
        </is>
      </c>
      <c r="E10" s="4" t="inlineStr">
        <is>
          <t>Servitory</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5 TI 1H</t>
        </is>
      </c>
      <c r="C11" s="14" t="inlineStr">
        <is>
          <t>Moch Dedy Triagwi</t>
        </is>
      </c>
      <c r="D11" s="15" t="inlineStr">
        <is>
          <t>Moch Dedy Triagwi (254107020233)
Akbar Bagus Wicaksana (254107020067)
Rafif Rizdan Prastana (254107020052)
Rafael Asuha (254107020126)</t>
        </is>
      </c>
      <c r="E11" s="4" t="inlineStr">
        <is>
          <t>Sistem Reservasi Rental PS Berbasis Web</t>
        </is>
      </c>
      <c r="F11" s="16" t="n"/>
      <c r="G11" s="16" t="n"/>
      <c r="H11" s="16" t="n"/>
      <c r="I11" s="16" t="n"/>
      <c r="J11" s="16" t="n"/>
      <c r="K11" s="16" t="n"/>
      <c r="L11" s="11">
        <f>IF(COUNT(F11:K11)&lt;6,"",SUMPRODUCT(F11:K11,$F$6:$K$6)/SUM($F$6:$K$6)/5*100)</f>
        <v/>
      </c>
      <c r="M11" s="15" t="n"/>
      <c r="N11" s="17" t="inlineStr">
        <is>
          <t>Buka tautan Drive</t>
        </is>
      </c>
    </row>
    <row r="12">
      <c r="A12" s="9" t="n">
        <v>6</v>
      </c>
      <c r="B12" s="14" t="inlineStr">
        <is>
          <t>"Katanya di grub gajadi"</t>
        </is>
      </c>
      <c r="C12" s="14" t="inlineStr">
        <is>
          <t>Raditya Mahatma Ghosi</t>
        </is>
      </c>
      <c r="D12" s="15" t="inlineStr">
        <is>
          <t>Raditya Mahatma Ghosi (254107020102)
Galuh Pramudya Ananta (254107020127)
Findi Finanda Aszahra (254107020016)
Mohammad Hafidz Rafi’ Rabbani (254107020084)</t>
        </is>
      </c>
      <c r="E12" s="4" t="inlineStr">
        <is>
          <t>SIPOLI : SISTEM INFORMASI POLIKLINIK POLITEKNIK NEGERI MALANG</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TI_2H - Dosen Pengampu: Priska Choirina, M.Tr.T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SAKTI</t>
        </is>
      </c>
      <c r="C7" s="14" t="inlineStr">
        <is>
          <t>Andreas Imanuel Wicaksono</t>
        </is>
      </c>
      <c r="D7" s="15" t="inlineStr">
        <is>
          <t>Andreas Imanuel Wicaksono (254107020143)
Saumi Yahya Suryadi (254107020137)
Resya Fajar Putra Pratama (254107020124)
Nahzul Balaghoh (254107020156)
Maulana Al Jabbar.Z (254107020054)</t>
        </is>
      </c>
      <c r="E7" s="4" t="inlineStr">
        <is>
          <t>SAKTI: Sistem Antrean Kantin Terintegrasi</t>
        </is>
      </c>
      <c r="F7" s="16" t="n"/>
      <c r="G7" s="16" t="n"/>
      <c r="H7" s="16" t="n"/>
      <c r="I7" s="16" t="n"/>
      <c r="J7" s="16" t="n"/>
      <c r="K7" s="16" t="n"/>
      <c r="L7" s="11">
        <f>IF(COUNT(F7:K7)&lt;6,"",SUMPRODUCT(F7:K7,$F$6:$K$6)/SUM($F$6:$K$6)/5*100)</f>
        <v/>
      </c>
      <c r="M7" s="15" t="n"/>
      <c r="N7" s="17" t="inlineStr">
        <is>
          <t>Buka tautan Drive</t>
        </is>
      </c>
    </row>
    <row r="8">
      <c r="A8" s="9" t="n">
        <v>2</v>
      </c>
      <c r="B8" s="14" t="inlineStr">
        <is>
          <t>SIKATABIS</t>
        </is>
      </c>
      <c r="C8" s="14" t="inlineStr">
        <is>
          <t>Lembah Manah</t>
        </is>
      </c>
      <c r="D8" s="15" t="inlineStr">
        <is>
          <t>Ketua: Lembah Manah</t>
        </is>
      </c>
      <c r="E8" s="4" t="inlineStr">
        <is>
          <t>SIKAT (Sistem Informasi Katering)</t>
        </is>
      </c>
      <c r="F8" s="16" t="n"/>
      <c r="G8" s="16" t="n"/>
      <c r="H8" s="16" t="n"/>
      <c r="I8" s="16" t="n"/>
      <c r="J8" s="16" t="n"/>
      <c r="K8" s="16" t="n"/>
      <c r="L8" s="11">
        <f>IF(COUNT(F8:K8)&lt;6,"",SUMPRODUCT(F8:K8,$F$6:$K$6)/SUM($F$6:$K$6)/5*100)</f>
        <v/>
      </c>
      <c r="M8" s="15" t="n"/>
      <c r="N8" s="17" t="inlineStr">
        <is>
          <t>Buka tautan Drive</t>
        </is>
      </c>
    </row>
    <row r="9">
      <c r="A9" s="9" t="n">
        <v>3</v>
      </c>
      <c r="B9" s="14" t="inlineStr">
        <is>
          <t>WebNest</t>
        </is>
      </c>
      <c r="C9" s="14" t="inlineStr">
        <is>
          <t>Zona Firman Maulana</t>
        </is>
      </c>
      <c r="D9" s="15" t="inlineStr">
        <is>
          <t>Ketua: Zona Firman Maulana</t>
        </is>
      </c>
      <c r="E9" s="4" t="inlineStr">
        <is>
          <t>KosinAja: SISTEM INFORMASI PENCARIAN KOS DAN RESERVASI BERBASIS WEB</t>
        </is>
      </c>
      <c r="F9" s="16" t="n"/>
      <c r="G9" s="16" t="n"/>
      <c r="H9" s="16" t="n"/>
      <c r="I9" s="16" t="n"/>
      <c r="J9" s="16" t="n"/>
      <c r="K9" s="16" t="n"/>
      <c r="L9" s="11">
        <f>IF(COUNT(F9:K9)&lt;6,"",SUMPRODUCT(F9:K9,$F$6:$K$6)/SUM($F$6:$K$6)/5*100)</f>
        <v/>
      </c>
      <c r="M9" s="15" t="n"/>
      <c r="N9" s="17" t="inlineStr">
        <is>
          <t>Buka tautan Drive</t>
        </is>
      </c>
    </row>
    <row r="10">
      <c r="A10" s="9" t="n">
        <v>4</v>
      </c>
      <c r="B10" s="14" t="inlineStr">
        <is>
          <t>Tim Servitory</t>
        </is>
      </c>
      <c r="C10" s="14" t="inlineStr">
        <is>
          <t>Agrisyandi Maraja Hutabarat</t>
        </is>
      </c>
      <c r="D10" s="15" t="inlineStr">
        <is>
          <t>Ketua: Agrisyandi Maraja Hutabarat</t>
        </is>
      </c>
      <c r="E10" s="4" t="inlineStr">
        <is>
          <t>Servitory</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5 TI 1H</t>
        </is>
      </c>
      <c r="C11" s="14" t="inlineStr">
        <is>
          <t>Moch Dedy Triagwi</t>
        </is>
      </c>
      <c r="D11" s="15" t="inlineStr">
        <is>
          <t>Moch Dedy Triagwi (254107020233)
Akbar Bagus Wicaksana (254107020067)
Rafif Rizdan Prastana (254107020052)
Rafael Asuha (254107020126)</t>
        </is>
      </c>
      <c r="E11" s="4" t="inlineStr">
        <is>
          <t>Sistem Reservasi Rental PS Berbasis Web</t>
        </is>
      </c>
      <c r="F11" s="16" t="n"/>
      <c r="G11" s="16" t="n"/>
      <c r="H11" s="16" t="n"/>
      <c r="I11" s="16" t="n"/>
      <c r="J11" s="16" t="n"/>
      <c r="K11" s="16" t="n"/>
      <c r="L11" s="11">
        <f>IF(COUNT(F11:K11)&lt;6,"",SUMPRODUCT(F11:K11,$F$6:$K$6)/SUM($F$6:$K$6)/5*100)</f>
        <v/>
      </c>
      <c r="M11" s="15" t="n"/>
      <c r="N11" s="17" t="inlineStr">
        <is>
          <t>Buka tautan Drive</t>
        </is>
      </c>
    </row>
    <row r="12">
      <c r="A12" s="9" t="n">
        <v>6</v>
      </c>
      <c r="B12" s="14" t="inlineStr">
        <is>
          <t>"Katanya di grub gajadi"</t>
        </is>
      </c>
      <c r="C12" s="14" t="inlineStr">
        <is>
          <t>Raditya Mahatma Ghosi</t>
        </is>
      </c>
      <c r="D12" s="15" t="inlineStr">
        <is>
          <t>Raditya Mahatma Ghosi (254107020102)
Galuh Pramudya Ananta (254107020127)
Findi Finanda Aszahra (254107020016)
Mohammad Hafidz Rafi’ Rabbani (254107020084)</t>
        </is>
      </c>
      <c r="E12" s="4" t="inlineStr">
        <is>
          <t>SIPOLI : SISTEM INFORMASI POLIKLINIK POLITEKNIK NEGERI MALANG</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TI_2H - Dosen Pengampu: Yoppy Yunhasnawa, S.ST., M.Sc.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SAKTI</t>
        </is>
      </c>
      <c r="C7" s="14" t="inlineStr">
        <is>
          <t>Andreas Imanuel Wicaksono</t>
        </is>
      </c>
      <c r="D7" s="15" t="inlineStr">
        <is>
          <t>Andreas Imanuel Wicaksono (254107020143)
Saumi Yahya Suryadi (254107020137)
Resya Fajar Putra Pratama (254107020124)
Nahzul Balaghoh (254107020156)
Maulana Al Jabbar.Z (254107020054)</t>
        </is>
      </c>
      <c r="E7" s="4" t="inlineStr">
        <is>
          <t>SAKTI: Sistem Antrean Kantin Terintegrasi</t>
        </is>
      </c>
      <c r="F7" s="16" t="n"/>
      <c r="G7" s="16" t="n"/>
      <c r="H7" s="16" t="n"/>
      <c r="I7" s="16" t="n"/>
      <c r="J7" s="16" t="n"/>
      <c r="K7" s="16" t="n"/>
      <c r="L7" s="11">
        <f>IF(COUNT(F7:K7)&lt;6,"",SUMPRODUCT(F7:K7,$F$6:$K$6)/SUM($F$6:$K$6)/5*100)</f>
        <v/>
      </c>
      <c r="M7" s="15" t="n"/>
      <c r="N7" s="17" t="inlineStr">
        <is>
          <t>Buka tautan Drive</t>
        </is>
      </c>
    </row>
    <row r="8">
      <c r="A8" s="9" t="n">
        <v>2</v>
      </c>
      <c r="B8" s="14" t="inlineStr">
        <is>
          <t>SIKATABIS</t>
        </is>
      </c>
      <c r="C8" s="14" t="inlineStr">
        <is>
          <t>Lembah Manah</t>
        </is>
      </c>
      <c r="D8" s="15" t="inlineStr">
        <is>
          <t>Ketua: Lembah Manah</t>
        </is>
      </c>
      <c r="E8" s="4" t="inlineStr">
        <is>
          <t>SIKAT (Sistem Informasi Katering)</t>
        </is>
      </c>
      <c r="F8" s="16" t="n"/>
      <c r="G8" s="16" t="n"/>
      <c r="H8" s="16" t="n"/>
      <c r="I8" s="16" t="n"/>
      <c r="J8" s="16" t="n"/>
      <c r="K8" s="16" t="n"/>
      <c r="L8" s="11">
        <f>IF(COUNT(F8:K8)&lt;6,"",SUMPRODUCT(F8:K8,$F$6:$K$6)/SUM($F$6:$K$6)/5*100)</f>
        <v/>
      </c>
      <c r="M8" s="15" t="n"/>
      <c r="N8" s="17" t="inlineStr">
        <is>
          <t>Buka tautan Drive</t>
        </is>
      </c>
    </row>
    <row r="9">
      <c r="A9" s="9" t="n">
        <v>3</v>
      </c>
      <c r="B9" s="14" t="inlineStr">
        <is>
          <t>WebNest</t>
        </is>
      </c>
      <c r="C9" s="14" t="inlineStr">
        <is>
          <t>Zona Firman Maulana</t>
        </is>
      </c>
      <c r="D9" s="15" t="inlineStr">
        <is>
          <t>Ketua: Zona Firman Maulana</t>
        </is>
      </c>
      <c r="E9" s="4" t="inlineStr">
        <is>
          <t>KosinAja: SISTEM INFORMASI PENCARIAN KOS DAN RESERVASI BERBASIS WEB</t>
        </is>
      </c>
      <c r="F9" s="16" t="n"/>
      <c r="G9" s="16" t="n"/>
      <c r="H9" s="16" t="n"/>
      <c r="I9" s="16" t="n"/>
      <c r="J9" s="16" t="n"/>
      <c r="K9" s="16" t="n"/>
      <c r="L9" s="11">
        <f>IF(COUNT(F9:K9)&lt;6,"",SUMPRODUCT(F9:K9,$F$6:$K$6)/SUM($F$6:$K$6)/5*100)</f>
        <v/>
      </c>
      <c r="M9" s="15" t="n"/>
      <c r="N9" s="17" t="inlineStr">
        <is>
          <t>Buka tautan Drive</t>
        </is>
      </c>
    </row>
    <row r="10">
      <c r="A10" s="9" t="n">
        <v>4</v>
      </c>
      <c r="B10" s="14" t="inlineStr">
        <is>
          <t>Tim Servitory</t>
        </is>
      </c>
      <c r="C10" s="14" t="inlineStr">
        <is>
          <t>Agrisyandi Maraja Hutabarat</t>
        </is>
      </c>
      <c r="D10" s="15" t="inlineStr">
        <is>
          <t>Ketua: Agrisyandi Maraja Hutabarat</t>
        </is>
      </c>
      <c r="E10" s="4" t="inlineStr">
        <is>
          <t>Servitory</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5 TI 1H</t>
        </is>
      </c>
      <c r="C11" s="14" t="inlineStr">
        <is>
          <t>Moch Dedy Triagwi</t>
        </is>
      </c>
      <c r="D11" s="15" t="inlineStr">
        <is>
          <t>Moch Dedy Triagwi (254107020233)
Akbar Bagus Wicaksana (254107020067)
Rafif Rizdan Prastana (254107020052)
Rafael Asuha (254107020126)</t>
        </is>
      </c>
      <c r="E11" s="4" t="inlineStr">
        <is>
          <t>Sistem Reservasi Rental PS Berbasis Web</t>
        </is>
      </c>
      <c r="F11" s="16" t="n"/>
      <c r="G11" s="16" t="n"/>
      <c r="H11" s="16" t="n"/>
      <c r="I11" s="16" t="n"/>
      <c r="J11" s="16" t="n"/>
      <c r="K11" s="16" t="n"/>
      <c r="L11" s="11">
        <f>IF(COUNT(F11:K11)&lt;6,"",SUMPRODUCT(F11:K11,$F$6:$K$6)/SUM($F$6:$K$6)/5*100)</f>
        <v/>
      </c>
      <c r="M11" s="15" t="n"/>
      <c r="N11" s="17" t="inlineStr">
        <is>
          <t>Buka tautan Drive</t>
        </is>
      </c>
    </row>
    <row r="12">
      <c r="A12" s="9" t="n">
        <v>6</v>
      </c>
      <c r="B12" s="14" t="inlineStr">
        <is>
          <t>"Katanya di grub gajadi"</t>
        </is>
      </c>
      <c r="C12" s="14" t="inlineStr">
        <is>
          <t>Raditya Mahatma Ghosi</t>
        </is>
      </c>
      <c r="D12" s="15" t="inlineStr">
        <is>
          <t>Raditya Mahatma Ghosi (254107020102)
Galuh Pramudya Ananta (254107020127)
Findi Finanda Aszahra (254107020016)
Mohammad Hafidz Rafi’ Rabbani (254107020084)</t>
        </is>
      </c>
      <c r="E12" s="4" t="inlineStr">
        <is>
          <t>SIPOLI : SISTEM INFORMASI POLIKLINIK POLITEKNIK NEGERI MALANG</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TI_2H - Dosen Pengampu: Retno Damayanti, S.Pd.,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SAKTI</t>
        </is>
      </c>
      <c r="C7" s="14" t="inlineStr">
        <is>
          <t>Andreas Imanuel Wicaksono</t>
        </is>
      </c>
      <c r="D7" s="15" t="inlineStr">
        <is>
          <t>Andreas Imanuel Wicaksono (254107020143)
Saumi Yahya Suryadi (254107020137)
Resya Fajar Putra Pratama (254107020124)
Nahzul Balaghoh (254107020156)
Maulana Al Jabbar.Z (254107020054)</t>
        </is>
      </c>
      <c r="E7" s="4" t="inlineStr">
        <is>
          <t>SAKTI: Sistem Antrean Kantin Terintegrasi</t>
        </is>
      </c>
      <c r="F7" s="16" t="n"/>
      <c r="G7" s="16" t="n"/>
      <c r="H7" s="16" t="n"/>
      <c r="I7" s="16" t="n"/>
      <c r="J7" s="16" t="n"/>
      <c r="K7" s="16" t="n"/>
      <c r="L7" s="11">
        <f>IF(COUNT(F7:K7)&lt;6,"",SUMPRODUCT(F7:K7,$F$6:$K$6)/SUM($F$6:$K$6)/5*100)</f>
        <v/>
      </c>
      <c r="M7" s="15" t="n"/>
      <c r="N7" s="17" t="inlineStr">
        <is>
          <t>Buka tautan Drive</t>
        </is>
      </c>
    </row>
    <row r="8">
      <c r="A8" s="9" t="n">
        <v>2</v>
      </c>
      <c r="B8" s="14" t="inlineStr">
        <is>
          <t>SIKATABIS</t>
        </is>
      </c>
      <c r="C8" s="14" t="inlineStr">
        <is>
          <t>Lembah Manah</t>
        </is>
      </c>
      <c r="D8" s="15" t="inlineStr">
        <is>
          <t>Ketua: Lembah Manah</t>
        </is>
      </c>
      <c r="E8" s="4" t="inlineStr">
        <is>
          <t>SIKAT (Sistem Informasi Katering)</t>
        </is>
      </c>
      <c r="F8" s="16" t="n"/>
      <c r="G8" s="16" t="n"/>
      <c r="H8" s="16" t="n"/>
      <c r="I8" s="16" t="n"/>
      <c r="J8" s="16" t="n"/>
      <c r="K8" s="16" t="n"/>
      <c r="L8" s="11">
        <f>IF(COUNT(F8:K8)&lt;6,"",SUMPRODUCT(F8:K8,$F$6:$K$6)/SUM($F$6:$K$6)/5*100)</f>
        <v/>
      </c>
      <c r="M8" s="15" t="n"/>
      <c r="N8" s="17" t="inlineStr">
        <is>
          <t>Buka tautan Drive</t>
        </is>
      </c>
    </row>
    <row r="9">
      <c r="A9" s="9" t="n">
        <v>3</v>
      </c>
      <c r="B9" s="14" t="inlineStr">
        <is>
          <t>WebNest</t>
        </is>
      </c>
      <c r="C9" s="14" t="inlineStr">
        <is>
          <t>Zona Firman Maulana</t>
        </is>
      </c>
      <c r="D9" s="15" t="inlineStr">
        <is>
          <t>Ketua: Zona Firman Maulana</t>
        </is>
      </c>
      <c r="E9" s="4" t="inlineStr">
        <is>
          <t>KosinAja: SISTEM INFORMASI PENCARIAN KOS DAN RESERVASI BERBASIS WEB</t>
        </is>
      </c>
      <c r="F9" s="16" t="n"/>
      <c r="G9" s="16" t="n"/>
      <c r="H9" s="16" t="n"/>
      <c r="I9" s="16" t="n"/>
      <c r="J9" s="16" t="n"/>
      <c r="K9" s="16" t="n"/>
      <c r="L9" s="11">
        <f>IF(COUNT(F9:K9)&lt;6,"",SUMPRODUCT(F9:K9,$F$6:$K$6)/SUM($F$6:$K$6)/5*100)</f>
        <v/>
      </c>
      <c r="M9" s="15" t="n"/>
      <c r="N9" s="17" t="inlineStr">
        <is>
          <t>Buka tautan Drive</t>
        </is>
      </c>
    </row>
    <row r="10">
      <c r="A10" s="9" t="n">
        <v>4</v>
      </c>
      <c r="B10" s="14" t="inlineStr">
        <is>
          <t>Tim Servitory</t>
        </is>
      </c>
      <c r="C10" s="14" t="inlineStr">
        <is>
          <t>Agrisyandi Maraja Hutabarat</t>
        </is>
      </c>
      <c r="D10" s="15" t="inlineStr">
        <is>
          <t>Ketua: Agrisyandi Maraja Hutabarat</t>
        </is>
      </c>
      <c r="E10" s="4" t="inlineStr">
        <is>
          <t>Servitory</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5 TI 1H</t>
        </is>
      </c>
      <c r="C11" s="14" t="inlineStr">
        <is>
          <t>Moch Dedy Triagwi</t>
        </is>
      </c>
      <c r="D11" s="15" t="inlineStr">
        <is>
          <t>Moch Dedy Triagwi (254107020233)
Akbar Bagus Wicaksana (254107020067)
Rafif Rizdan Prastana (254107020052)
Rafael Asuha (254107020126)</t>
        </is>
      </c>
      <c r="E11" s="4" t="inlineStr">
        <is>
          <t>Sistem Reservasi Rental PS Berbasis Web</t>
        </is>
      </c>
      <c r="F11" s="16" t="n"/>
      <c r="G11" s="16" t="n"/>
      <c r="H11" s="16" t="n"/>
      <c r="I11" s="16" t="n"/>
      <c r="J11" s="16" t="n"/>
      <c r="K11" s="16" t="n"/>
      <c r="L11" s="11">
        <f>IF(COUNT(F11:K11)&lt;6,"",SUMPRODUCT(F11:K11,$F$6:$K$6)/SUM($F$6:$K$6)/5*100)</f>
        <v/>
      </c>
      <c r="M11" s="15" t="n"/>
      <c r="N11" s="17" t="inlineStr">
        <is>
          <t>Buka tautan Drive</t>
        </is>
      </c>
    </row>
    <row r="12">
      <c r="A12" s="9" t="n">
        <v>6</v>
      </c>
      <c r="B12" s="14" t="inlineStr">
        <is>
          <t>"Katanya di grub gajadi"</t>
        </is>
      </c>
      <c r="C12" s="14" t="inlineStr">
        <is>
          <t>Raditya Mahatma Ghosi</t>
        </is>
      </c>
      <c r="D12" s="15" t="inlineStr">
        <is>
          <t>Raditya Mahatma Ghosi (254107020102)
Galuh Pramudya Ananta (254107020127)
Findi Finanda Aszahra (254107020016)
Mohammad Hafidz Rafi’ Rabbani (254107020084)</t>
        </is>
      </c>
      <c r="E12" s="4" t="inlineStr">
        <is>
          <t>SIPOLI : SISTEM INFORMASI POLIKLINIK POLITEKNIK NEGERI MALANG</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TI_2H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Kelompok SAKTI</t>
        </is>
      </c>
      <c r="C5" s="14" t="inlineStr">
        <is>
          <t>Andreas Imanuel Wicaksono</t>
        </is>
      </c>
      <c r="D5" s="4">
        <f>'Manajemen Proyek'!D7</f>
        <v/>
      </c>
      <c r="E5" s="4" t="inlineStr">
        <is>
          <t>SAKTI: Sistem Antrean Kantin Terintegrasi</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SIKATABIS</t>
        </is>
      </c>
      <c r="C6" s="14" t="inlineStr">
        <is>
          <t>Lembah Manah</t>
        </is>
      </c>
      <c r="D6" s="4">
        <f>'Manajemen Proyek'!D8</f>
        <v/>
      </c>
      <c r="E6" s="4" t="inlineStr">
        <is>
          <t>SIKAT (Sistem Informasi Katering)</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WebNest</t>
        </is>
      </c>
      <c r="C7" s="14" t="inlineStr">
        <is>
          <t>Zona Firman Maulana</t>
        </is>
      </c>
      <c r="D7" s="4">
        <f>'Manajemen Proyek'!D9</f>
        <v/>
      </c>
      <c r="E7" s="4" t="inlineStr">
        <is>
          <t>KosinAja: SISTEM INFORMASI PENCARIAN KOS DAN RESERVASI BERBASIS WEB</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Tim Servitory</t>
        </is>
      </c>
      <c r="C8" s="14" t="inlineStr">
        <is>
          <t>Agrisyandi Maraja Hutabarat</t>
        </is>
      </c>
      <c r="D8" s="4">
        <f>'Manajemen Proyek'!D10</f>
        <v/>
      </c>
      <c r="E8" s="4" t="inlineStr">
        <is>
          <t>Servitory</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Kelompok 5 TI 1H</t>
        </is>
      </c>
      <c r="C9" s="14" t="inlineStr">
        <is>
          <t>Moch Dedy Triagwi</t>
        </is>
      </c>
      <c r="D9" s="4">
        <f>'Manajemen Proyek'!D11</f>
        <v/>
      </c>
      <c r="E9" s="4" t="inlineStr">
        <is>
          <t>Sistem Reservasi Rental PS Berbasis Web</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"Katanya di grub gajadi"</t>
        </is>
      </c>
      <c r="C10" s="14" t="inlineStr">
        <is>
          <t>Raditya Mahatma Ghosi</t>
        </is>
      </c>
      <c r="D10" s="4">
        <f>'Manajemen Proyek'!D12</f>
        <v/>
      </c>
      <c r="E10" s="4" t="inlineStr">
        <is>
          <t>SIPOLI : SISTEM INFORMASI POLIKLINIK POLITEKNIK NEGERI MALANG</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