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Rubrik" sheetId="2" state="visible" r:id="rId2"/>
    <sheet name="Manajemen Proyek" sheetId="3" state="visible" r:id="rId3"/>
    <sheet name="Desain &amp; Pemrograman Web" sheetId="4" state="visible" r:id="rId4"/>
    <sheet name="Basis Data Lanjut" sheetId="5" state="visible" r:id="rId5"/>
    <sheet name="Sistem Informasi Manajemen" sheetId="6" state="visible" r:id="rId6"/>
    <sheet name="Rekap"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color rgb="00E8F0FB"/>
      <sz val="11"/>
    </font>
    <font>
      <name val="Calibri"/>
      <b val="1"/>
      <color rgb="001A1A2E"/>
      <sz val="10"/>
    </font>
    <font>
      <name val="Calibri"/>
      <color rgb="001A1A2E"/>
      <sz val="10"/>
    </font>
    <font>
      <name val="Calibri"/>
      <b val="1"/>
      <color rgb="00FFFFFF"/>
      <sz val="10"/>
    </font>
    <font>
      <name val="Calibri"/>
      <b val="1"/>
      <color rgb="0000274F"/>
      <sz val="10"/>
    </font>
    <font>
      <name val="Calibri"/>
      <b val="1"/>
      <color rgb="00FFFFFF"/>
      <sz val="12"/>
    </font>
    <font>
      <name val="Calibri"/>
      <color rgb="001155CC"/>
      <sz val="10"/>
      <u val="single"/>
    </font>
  </fonts>
  <fills count="6">
    <fill>
      <patternFill/>
    </fill>
    <fill>
      <patternFill patternType="gray125"/>
    </fill>
    <fill>
      <patternFill patternType="solid">
        <fgColor rgb="00003B7A"/>
      </patternFill>
    </fill>
    <fill>
      <patternFill patternType="solid">
        <fgColor rgb="00FFF8E6"/>
      </patternFill>
    </fill>
    <fill>
      <patternFill patternType="solid">
        <fgColor rgb="00E8F0FB"/>
      </patternFill>
    </fill>
    <fill>
      <patternFill patternType="solid">
        <fgColor rgb="0000274F"/>
      </patternFill>
    </fill>
  </fills>
  <borders count="2">
    <border>
      <left/>
      <right/>
      <top/>
      <bottom/>
      <diagonal/>
    </border>
    <border>
      <left style="thin">
        <color rgb="00C5D4E8"/>
      </left>
      <right style="thin">
        <color rgb="00C5D4E8"/>
      </right>
      <top style="thin">
        <color rgb="00C5D4E8"/>
      </top>
      <bottom style="thin">
        <color rgb="00C5D4E8"/>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1" applyAlignment="1" pivotButton="0" quotePrefix="0" xfId="0">
      <alignment horizontal="left" vertical="top" wrapText="1"/>
    </xf>
    <xf numFmtId="0" fontId="3" fillId="3" borderId="0" pivotButton="0" quotePrefix="0" xfId="0"/>
    <xf numFmtId="0" fontId="3" fillId="4" borderId="0" pivotButton="0" quotePrefix="0" xfId="0"/>
    <xf numFmtId="0" fontId="0" fillId="2" borderId="0"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0"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left" vertical="center" wrapText="1"/>
    </xf>
    <xf numFmtId="0" fontId="0" fillId="5" borderId="1" pivotButton="0" quotePrefix="0" xfId="0"/>
    <xf numFmtId="0" fontId="4" fillId="0" borderId="1" applyAlignment="1" pivotButton="0" quotePrefix="0" xfId="0">
      <alignment horizontal="left" vertical="center" wrapText="1"/>
    </xf>
    <xf numFmtId="0" fontId="4" fillId="3" borderId="1" applyAlignment="1" pivotButton="0" quotePrefix="0" xfId="0">
      <alignment horizontal="left" vertical="top" wrapText="1"/>
    </xf>
    <xf numFmtId="0" fontId="4" fillId="3" borderId="1" applyAlignment="1" pivotButton="0" quotePrefix="0" xfId="0">
      <alignment horizontal="center" vertical="center" wrapText="1"/>
    </xf>
    <xf numFmtId="0" fontId="8" fillId="0" borderId="1" applyAlignment="1" pivotButton="0" quotePrefix="0" xfId="0">
      <alignment horizontal="center" vertical="center" wrapText="1"/>
    </xf>
  </cellXfs>
  <cellStyles count="1">
    <cellStyle name="Normal" xfId="0" builtinId="0" hidden="0"/>
  </cellStyles>
  <dxfs count="1">
    <dxf>
      <font>
        <b val="1"/>
        <color rgb="00B00020"/>
      </font>
      <fill>
        <patternFill patternType="solid">
          <fgColor rgb="00FDEA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rive.google.com/open?id=1dsn7rbDqG8vtrDy6wvqzxJwho9PvSEw_" TargetMode="External" Id="rId1" /><Relationship Type="http://schemas.openxmlformats.org/officeDocument/2006/relationships/hyperlink" Target="https://drive.google.com/open?id=1g2rq0A2O8UmonS2mTOormpw0UuNGyubV" TargetMode="External" Id="rId2" /><Relationship Type="http://schemas.openxmlformats.org/officeDocument/2006/relationships/hyperlink" Target="https://drive.google.com/open?id=1CglkSuR2J3OY7JTkYLzR6DNQbYvlvnZS" TargetMode="External" Id="rId3" /><Relationship Type="http://schemas.openxmlformats.org/officeDocument/2006/relationships/hyperlink" Target="https://drive.google.com/open?id=1rSijGv_6y9cEikvLmmMTeum05Q3Xdam9" TargetMode="External" Id="rId4" /><Relationship Type="http://schemas.openxmlformats.org/officeDocument/2006/relationships/hyperlink" Target="https://drive.google.com/open?id=1NjSHGj-ey_dRJzaCBNdtpYyBHwbA5GVK" TargetMode="External" Id="rId5" /></Relationships>
</file>

<file path=xl/worksheets/_rels/sheet4.xml.rels><Relationships xmlns="http://schemas.openxmlformats.org/package/2006/relationships"><Relationship Type="http://schemas.openxmlformats.org/officeDocument/2006/relationships/hyperlink" Target="https://drive.google.com/open?id=1dsn7rbDqG8vtrDy6wvqzxJwho9PvSEw_" TargetMode="External" Id="rId1" /><Relationship Type="http://schemas.openxmlformats.org/officeDocument/2006/relationships/hyperlink" Target="https://drive.google.com/open?id=1g2rq0A2O8UmonS2mTOormpw0UuNGyubV" TargetMode="External" Id="rId2" /><Relationship Type="http://schemas.openxmlformats.org/officeDocument/2006/relationships/hyperlink" Target="https://drive.google.com/open?id=1CglkSuR2J3OY7JTkYLzR6DNQbYvlvnZS" TargetMode="External" Id="rId3" /><Relationship Type="http://schemas.openxmlformats.org/officeDocument/2006/relationships/hyperlink" Target="https://drive.google.com/open?id=1rSijGv_6y9cEikvLmmMTeum05Q3Xdam9" TargetMode="External" Id="rId4" /><Relationship Type="http://schemas.openxmlformats.org/officeDocument/2006/relationships/hyperlink" Target="https://drive.google.com/open?id=1NjSHGj-ey_dRJzaCBNdtpYyBHwbA5GVK" TargetMode="External" Id="rId5" /></Relationships>
</file>

<file path=xl/worksheets/_rels/sheet5.xml.rels><Relationships xmlns="http://schemas.openxmlformats.org/package/2006/relationships"><Relationship Type="http://schemas.openxmlformats.org/officeDocument/2006/relationships/hyperlink" Target="https://drive.google.com/open?id=1dsn7rbDqG8vtrDy6wvqzxJwho9PvSEw_" TargetMode="External" Id="rId1" /><Relationship Type="http://schemas.openxmlformats.org/officeDocument/2006/relationships/hyperlink" Target="https://drive.google.com/open?id=1g2rq0A2O8UmonS2mTOormpw0UuNGyubV" TargetMode="External" Id="rId2" /><Relationship Type="http://schemas.openxmlformats.org/officeDocument/2006/relationships/hyperlink" Target="https://drive.google.com/open?id=1CglkSuR2J3OY7JTkYLzR6DNQbYvlvnZS" TargetMode="External" Id="rId3" /><Relationship Type="http://schemas.openxmlformats.org/officeDocument/2006/relationships/hyperlink" Target="https://drive.google.com/open?id=1rSijGv_6y9cEikvLmmMTeum05Q3Xdam9" TargetMode="External" Id="rId4" /><Relationship Type="http://schemas.openxmlformats.org/officeDocument/2006/relationships/hyperlink" Target="https://drive.google.com/open?id=1NjSHGj-ey_dRJzaCBNdtpYyBHwbA5GVK" TargetMode="External" Id="rId5" /></Relationships>
</file>

<file path=xl/worksheets/_rels/sheet6.xml.rels><Relationships xmlns="http://schemas.openxmlformats.org/package/2006/relationships"><Relationship Type="http://schemas.openxmlformats.org/officeDocument/2006/relationships/hyperlink" Target="https://drive.google.com/open?id=1dsn7rbDqG8vtrDy6wvqzxJwho9PvSEw_" TargetMode="External" Id="rId1" /><Relationship Type="http://schemas.openxmlformats.org/officeDocument/2006/relationships/hyperlink" Target="https://drive.google.com/open?id=1g2rq0A2O8UmonS2mTOormpw0UuNGyubV" TargetMode="External" Id="rId2" /><Relationship Type="http://schemas.openxmlformats.org/officeDocument/2006/relationships/hyperlink" Target="https://drive.google.com/open?id=1CglkSuR2J3OY7JTkYLzR6DNQbYvlvnZS" TargetMode="External" Id="rId3" /><Relationship Type="http://schemas.openxmlformats.org/officeDocument/2006/relationships/hyperlink" Target="https://drive.google.com/open?id=1rSijGv_6y9cEikvLmmMTeum05Q3Xdam9" TargetMode="External" Id="rId4" /><Relationship Type="http://schemas.openxmlformats.org/officeDocument/2006/relationships/hyperlink" Target="https://drive.google.com/open?id=1NjSHGj-ey_dRJzaCBNdtpYyBHwbA5GVK" TargetMode="External" Id="rId5" /></Relationships>
</file>

<file path=xl/worksheets/_rels/sheet7.xml.rels><Relationships xmlns="http://schemas.openxmlformats.org/package/2006/relationships"><Relationship Type="http://schemas.openxmlformats.org/officeDocument/2006/relationships/hyperlink" Target="https://drive.google.com/open?id=1dsn7rbDqG8vtrDy6wvqzxJwho9PvSEw_" TargetMode="External" Id="rId1" /><Relationship Type="http://schemas.openxmlformats.org/officeDocument/2006/relationships/hyperlink" Target="https://drive.google.com/open?id=1g2rq0A2O8UmonS2mTOormpw0UuNGyubV" TargetMode="External" Id="rId2" /><Relationship Type="http://schemas.openxmlformats.org/officeDocument/2006/relationships/hyperlink" Target="https://drive.google.com/open?id=1CglkSuR2J3OY7JTkYLzR6DNQbYvlvnZS" TargetMode="External" Id="rId3" /><Relationship Type="http://schemas.openxmlformats.org/officeDocument/2006/relationships/hyperlink" Target="https://drive.google.com/open?id=1rSijGv_6y9cEikvLmmMTeum05Q3Xdam9" TargetMode="External" Id="rId4" /><Relationship Type="http://schemas.openxmlformats.org/officeDocument/2006/relationships/hyperlink" Target="https://drive.google.com/open?id=1NjSHGj-ey_dRJzaCBNdtpYyBHwbA5GVK" TargetMode="External" Id="rId5" /></Relationships>
</file>

<file path=xl/worksheets/sheet1.xml><?xml version="1.0" encoding="utf-8"?>
<worksheet xmlns="http://schemas.openxmlformats.org/spreadsheetml/2006/main">
  <sheetPr>
    <outlinePr summaryBelow="1" summaryRight="1"/>
    <pageSetUpPr/>
  </sheetPr>
  <dimension ref="A1:A38"/>
  <sheetViews>
    <sheetView showGridLines="0" workbookViewId="0">
      <selection activeCell="A1" sqref="A1"/>
    </sheetView>
  </sheetViews>
  <sheetFormatPr baseColWidth="8" defaultRowHeight="15"/>
  <cols>
    <col width="95" customWidth="1" min="1" max="1"/>
  </cols>
  <sheetData>
    <row r="1" ht="28" customHeight="1">
      <c r="A1" s="1" t="inlineStr">
        <is>
          <t>Rubrik Penilaian Proposal PBL - Kelas TI_2C</t>
        </is>
      </c>
    </row>
    <row r="2" ht="20" customHeight="1">
      <c r="A2" s="2" t="inlineStr">
        <is>
          <t>Semester 3 - Checkpoint Proposal (Minggu 3)</t>
        </is>
      </c>
    </row>
    <row r="5">
      <c r="A5" s="3" t="inlineStr">
        <is>
          <t>Latar belakang</t>
        </is>
      </c>
    </row>
    <row r="6" ht="46" customHeight="1">
      <c r="A6" s="4" t="inlineStr">
        <is>
          <t>Rapat koordinasi PBL tanggal 4 September 2026 mewajibkan setiap mata kuliah terintegrasi PBL menyusun rubrik penilaian per checkpoint sendiri, dengan rubrik Proposal jatuh tempo pada Minggu 3. Hingga saat ini rubrik khusus per mata kuliah belum diserahkan, sehingga rubrik umum ini digunakan sebagai standar sementara yang berlaku sama untuk seluruh kelas.</t>
        </is>
      </c>
    </row>
    <row r="8">
      <c r="A8" s="3" t="inlineStr">
        <is>
          <t>Setiap dosen menilai di sheet sendiri</t>
        </is>
      </c>
    </row>
    <row r="9" ht="46" customHeight="1">
      <c r="A9" s="4" t="inlineStr">
        <is>
          <t>Kelas TI_2C diampu oleh 4 mata kuliah terintegrasi PBL: Manajemen Proyek, Desain &amp; Pemrograman Web, Basis Data Lanjut, Sistem Informasi Manajemen. Setiap mata kuliah punya sheet penilaian sendiri (nama sheet = nama mata kuliah), sehingga setiap dosen pengampu dapat mengisi nilai secara independen dalam satu berkas yang sama tanpa saling menimpa isian dosen lain.</t>
        </is>
      </c>
    </row>
    <row r="11">
      <c r="A11" s="3" t="inlineStr">
        <is>
          <t>Skala penilaian</t>
        </is>
      </c>
    </row>
    <row r="12" ht="46" customHeight="1">
      <c r="A12" s="4" t="inlineStr">
        <is>
          <t>Setiap kriteria dinilai pada skala 1-5 (1 = sangat kurang, 5 = sangat baik) melalui dropdown pada sel yang berwarna kuning. Deskriptor lengkap setiap level ada di sheet "Rubrik".</t>
        </is>
      </c>
    </row>
    <row r="14">
      <c r="A14" s="3" t="inlineStr">
        <is>
          <t>PENTING - penilaian hanya level kelompok</t>
        </is>
      </c>
    </row>
    <row r="15" ht="46" customHeight="1">
      <c r="A15" s="4" t="inlineStr">
        <is>
          <t>Seluruh penilaian pada workbook ini berada di level TIM/KELOMPOK. Tidak ada penilaian individu pada tahap proposal, karena pada fase ini belum ada produk kerja individu yang bisa dinilai terpisah dari dokumen tim. Penilaian kontribusi individu mahasiswa sepenuhnya menjadi kewenangan dosen pengampu masing-masing mata kuliah pada checkpoint berikutnya (Milestone 1, Milestone 2, dan Final), menggunakan mekanisme yang mereka tentukan sendiri.</t>
        </is>
      </c>
    </row>
    <row r="17">
      <c r="A17" s="3" t="inlineStr">
        <is>
          <t>Kolom Anggota Tim</t>
        </is>
      </c>
    </row>
    <row r="18" ht="46" customHeight="1">
      <c r="A18" s="4" t="inlineStr">
        <is>
          <t>Formulir pengumpulan proposal tidak mengumpulkan daftar anggota tim secara terstruktur, hanya nama tim dan nama ketua tim. Kolom "Anggota Tim" sudah diisi awal dengan nama ketua dan berwarna kuning (bisa diedit) -- mohon lengkapi dengan anggota lain saat memeriksa proposal, mengacu pada bagian Identitas Tim di dokumen proposal masing-masing.</t>
        </is>
      </c>
    </row>
    <row r="20">
      <c r="A20" s="3" t="inlineStr">
        <is>
          <t>Bobot kriteria</t>
        </is>
      </c>
    </row>
    <row r="21" ht="46" customHeight="1">
      <c r="A21" s="4" t="inlineStr">
        <is>
          <t>Bobot tiap kriteria (lihat sheet "Rubrik") dalam kelipatan 5% dan berjumlah 100%. Baris bobot ini digandakan (di-echo) di setiap sheet dosen tepat di atas grid penilaian agar rumus SUMPRODUCT selalu konsisten dengan sheet Rubrik dan tidak bisa tergeser.</t>
        </is>
      </c>
    </row>
    <row r="23">
      <c r="A23" s="3" t="inlineStr">
        <is>
          <t>Nilai akhir tim</t>
        </is>
      </c>
    </row>
    <row r="24" ht="46" customHeight="1">
      <c r="A24" s="4" t="inlineStr">
        <is>
          <t>Dihitung otomatis (sel biru, jangan diedit manual) dengan rumus SUMPRODUCT(skor, bobot) / SUM(bobot) / 5 * 100, menghasilkan nilai pada skala 0-100, per dosen pengampu.</t>
        </is>
      </c>
    </row>
    <row r="26">
      <c r="A26" s="3" t="inlineStr">
        <is>
          <t>Kolom Revisi</t>
        </is>
      </c>
    </row>
    <row r="27" ht="46" customHeight="1">
      <c r="A27" s="4" t="inlineStr">
        <is>
          <t>Kolom "Revisi" pada setiap sheet dosen adalah catatan bebas (bukan skor) untuk menuliskan hal yang perlu diperbaiki tim pada proposalnya, dari sudut pandang mata kuliah tersebut.</t>
        </is>
      </c>
    </row>
    <row r="29">
      <c r="A29" s="3" t="inlineStr">
        <is>
          <t>Berkas proposal</t>
        </is>
      </c>
    </row>
    <row r="30" ht="46" customHeight="1">
      <c r="A30" s="4" t="inlineStr">
        <is>
          <t>Kolom "Berkas Proposal" berisi tautan langsung ke berkas yang diunggah tim di Google Drive.</t>
        </is>
      </c>
    </row>
    <row r="32">
      <c r="A32" s="3" t="inlineStr">
        <is>
          <t>Sheet Rekap</t>
        </is>
      </c>
    </row>
    <row r="33" ht="46" customHeight="1">
      <c r="A33" s="4" t="inlineStr">
        <is>
          <t>Sheet "Rekap" merangkum Nilai Akhir dan Revisi dari SEMUA dosen pengampu kelas ini secara berdampingan per tim, lalu menghitung Nilai Rata-rata tim tersebut secara otomatis.</t>
        </is>
      </c>
    </row>
    <row r="35">
      <c r="A35" s="3" t="inlineStr">
        <is>
          <t>Legenda warna</t>
        </is>
      </c>
    </row>
    <row r="37">
      <c r="A37" s="5" t="inlineStr">
        <is>
          <t xml:space="preserve">  Kuning -&gt; sel input (dosen mengisi skor 1-5 / anggota tim / catatan revisi)</t>
        </is>
      </c>
    </row>
    <row r="38">
      <c r="A38" s="6" t="inlineStr">
        <is>
          <t xml:space="preserve">  Biru   -&gt; sel komputasi (jangan diedit manual)</t>
        </is>
      </c>
    </row>
  </sheetData>
  <mergeCells count="2">
    <mergeCell ref="A2"/>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3" topLeftCell="A4" activePane="bottomLeft" state="frozen"/>
      <selection pane="bottomLeft" activeCell="A1" sqref="A1"/>
    </sheetView>
  </sheetViews>
  <sheetFormatPr baseColWidth="8" defaultRowHeight="15"/>
  <cols>
    <col width="4" customWidth="1" min="1" max="1"/>
    <col width="34" customWidth="1" min="2" max="2"/>
    <col width="9" customWidth="1" min="3" max="3"/>
    <col width="30" customWidth="1" min="4" max="4"/>
    <col width="30" customWidth="1" min="5" max="5"/>
    <col width="30" customWidth="1" min="6" max="6"/>
    <col width="30" customWidth="1" min="7" max="7"/>
    <col width="30" customWidth="1" min="8" max="8"/>
  </cols>
  <sheetData>
    <row r="1" ht="26" customHeight="1">
      <c r="A1" s="1" t="inlineStr">
        <is>
          <t>Rubrik Penilaian Proposal (Umum, Berlaku Semua Kelas)</t>
        </is>
      </c>
      <c r="B1" s="7" t="n"/>
      <c r="C1" s="7" t="n"/>
      <c r="D1" s="7" t="n"/>
      <c r="E1" s="7" t="n"/>
      <c r="F1" s="7" t="n"/>
      <c r="G1" s="7" t="n"/>
      <c r="H1" s="7" t="n"/>
    </row>
    <row r="3" ht="20" customHeight="1">
      <c r="A3" s="8" t="inlineStr">
        <is>
          <t>No</t>
        </is>
      </c>
      <c r="B3" s="8" t="inlineStr">
        <is>
          <t>Kriteria</t>
        </is>
      </c>
      <c r="C3" s="8" t="inlineStr">
        <is>
          <t>Bobot (%)</t>
        </is>
      </c>
      <c r="D3" s="8" t="inlineStr">
        <is>
          <t>Level 1</t>
        </is>
      </c>
      <c r="E3" s="8" t="inlineStr">
        <is>
          <t>Level 2</t>
        </is>
      </c>
      <c r="F3" s="8" t="inlineStr">
        <is>
          <t>Level 3</t>
        </is>
      </c>
      <c r="G3" s="8" t="inlineStr">
        <is>
          <t>Level 4</t>
        </is>
      </c>
      <c r="H3" s="8" t="inlineStr">
        <is>
          <t>Level 5</t>
        </is>
      </c>
    </row>
    <row r="4" ht="92" customHeight="1">
      <c r="A4" s="9" t="n">
        <v>1</v>
      </c>
      <c r="B4" s="4" t="inlineStr">
        <is>
          <t>Latar Belakang dan Rumusan Masalah</t>
        </is>
      </c>
      <c r="C4" s="9" t="n">
        <v>20</v>
      </c>
      <c r="D4" s="4" t="inlineStr">
        <is>
          <t>Tidak ada latar belakang yang jelas; masalah tidak diuraikan atau tidak berdasar pada kondisi nyata.</t>
        </is>
      </c>
      <c r="E4" s="4" t="inlineStr">
        <is>
          <t>Latar belakang disampaikan secara umum tanpa data/observasi pendukung; rumusan masalah kabur dan tidak spesifik.</t>
        </is>
      </c>
      <c r="F4" s="4" t="inlineStr">
        <is>
          <t>Latar belakang cukup relevan namun bukti pendukung (wawancara, data, observasi) masih terbatas; rumusan masalah ada namun kurang tajam.</t>
        </is>
      </c>
      <c r="G4" s="4" t="inlineStr">
        <is>
          <t>Latar belakang didukung bukti yang memadai dan relevan dengan calon pengguna/mitra; rumusan masalah spesifik dan menjadi dasar solusi yang diusulkan.</t>
        </is>
      </c>
      <c r="H4" s="4" t="inlineStr">
        <is>
          <t>Latar belakang digali mendalam dengan bukti kuat dan beragam (wawancara, data kuantitatif, observasi langsung); rumusan masalah tajam, terukur, dan meyakinkan sebagai dasar seluruh proposal.</t>
        </is>
      </c>
    </row>
    <row r="5" ht="92" customHeight="1">
      <c r="A5" s="9" t="n">
        <v>2</v>
      </c>
      <c r="B5" s="4" t="inlineStr">
        <is>
          <t>Deskripsi Produk dan Solusi</t>
        </is>
      </c>
      <c r="C5" s="9" t="n">
        <v>20</v>
      </c>
      <c r="D5" s="4" t="inlineStr">
        <is>
          <t>Produk/solusi tidak dijelaskan, atau tidak berkaitan dengan masalah yang diangkat.</t>
        </is>
      </c>
      <c r="E5" s="4" t="inlineStr">
        <is>
          <t>Produk/solusi disebutkan secara umum tanpa penjelasan fitur atau cara kerja; keterkaitan dengan masalah lemah.</t>
        </is>
      </c>
      <c r="F5" s="4" t="inlineStr">
        <is>
          <t>Produk/solusi dan fitur utamanya dijelaskan, keterkaitan dengan masalah cukup jelas, namun nilai tambah dibanding pendekatan lain belum terlihat.</t>
        </is>
      </c>
      <c r="G5" s="4" t="inlineStr">
        <is>
          <t>Produk/solusi dijelaskan lengkap (fitur, cara kerja, pengguna sasaran) dan keterkaitannya dengan masalah kuat; nilai tambah solusi tergambar jelas.</t>
        </is>
      </c>
      <c r="H5" s="4" t="inlineStr">
        <is>
          <t>Produk/solusi dijelaskan lengkap dan meyakinkan, disertai alasan mengapa pendekatan ini paling sesuai dibanding alternatif lain, serta batasan solusi disampaikan secara jujur.</t>
        </is>
      </c>
    </row>
    <row r="6" ht="92" customHeight="1">
      <c r="A6" s="9" t="n">
        <v>3</v>
      </c>
      <c r="B6" s="4" t="inlineStr">
        <is>
          <t>Rancangan Teknis Awal (ERD dan Wireframe)</t>
        </is>
      </c>
      <c r="C6" s="9" t="n">
        <v>20</v>
      </c>
      <c r="D6" s="4" t="inlineStr">
        <is>
          <t>Tidak ada rancangan teknis; ERD dan wireframe tidak dilampirkan.</t>
        </is>
      </c>
      <c r="E6" s="4" t="inlineStr">
        <is>
          <t>ERD atau wireframe dilampirkan namun sangat sederhana, tidak konsisten dengan deskripsi produk, atau salah satunya tidak ada.</t>
        </is>
      </c>
      <c r="F6" s="4" t="inlineStr">
        <is>
          <t>ERD dan wireframe tersedia dan konsisten dengan deskripsi produk, namun detail entitas/atribut atau alur antarmuka masih minim.</t>
        </is>
      </c>
      <c r="G6" s="4" t="inlineStr">
        <is>
          <t>ERD dan wireframe tersedia lengkap, konsisten dengan deskripsi produk, entitas/atribut/alur digambarkan dengan jelas.</t>
        </is>
      </c>
      <c r="H6" s="4" t="inlineStr">
        <is>
          <t>ERD dan wireframe tersedia lengkap, rapi, dan konsisten; relasi antarentitas serta alur antarmuka menunjukkan pemahaman teknis yang matang terhadap kebutuhan produk.</t>
        </is>
      </c>
    </row>
    <row r="7" ht="92" customHeight="1">
      <c r="A7" s="9" t="n">
        <v>4</v>
      </c>
      <c r="B7" s="4" t="inlineStr">
        <is>
          <t>Tujuan dan Ruang Lingkup Proyek</t>
        </is>
      </c>
      <c r="C7" s="9" t="n">
        <v>15</v>
      </c>
      <c r="D7" s="4" t="inlineStr">
        <is>
          <t>Tujuan proyek tidak dirumuskan, atau ruang lingkup tidak disebutkan.</t>
        </is>
      </c>
      <c r="E7" s="4" t="inlineStr">
        <is>
          <t>Tujuan dirumuskan secara umum dan sulit diukur; batas ruang lingkup (yang dikerjakan/tidak dikerjakan) tidak jelas.</t>
        </is>
      </c>
      <c r="F7" s="4" t="inlineStr">
        <is>
          <t>Tujuan cukup jelas namun sebagian belum terukur; ruang lingkup disebutkan namun batasannya belum tegas.</t>
        </is>
      </c>
      <c r="G7" s="4" t="inlineStr">
        <is>
          <t>Tujuan dirumuskan jelas dan terukur, selaras dengan masalah dan solusi; ruang lingkup ditegaskan dengan batasan yang realistis.</t>
        </is>
      </c>
      <c r="H7" s="4" t="inlineStr">
        <is>
          <t>Tujuan dirumuskan jelas, terukur, dan selaras penuh dengan masalah/solusi; ruang lingkup ditegaskan dengan batasan realistis yang mempertimbangkan keterbatasan waktu/sumber daya tim.</t>
        </is>
      </c>
    </row>
    <row r="8" ht="92" customHeight="1">
      <c r="A8" s="9" t="n">
        <v>5</v>
      </c>
      <c r="B8" s="4" t="inlineStr">
        <is>
          <t>Rencana Kerja dan Organisasi Tim (WBS, Jadwal, Pembagian Peran)</t>
        </is>
      </c>
      <c r="C8" s="9" t="n">
        <v>15</v>
      </c>
      <c r="D8" s="4" t="inlineStr">
        <is>
          <t>Tidak ada rencana kerja; WBS, jadwal, dan pembagian peran tidak dilampirkan.</t>
        </is>
      </c>
      <c r="E8" s="4" t="inlineStr">
        <is>
          <t>Rencana kerja disebutkan secara umum; WBS/jadwal/pembagian peran ada namun tidak rinci atau tidak realistis.</t>
        </is>
      </c>
      <c r="F8" s="4" t="inlineStr">
        <is>
          <t>WBS, jadwal, dan pembagian peran tersedia dan cukup jelas, namun keterkaitan antar-anggota tim dengan modul kerja belum tegas.</t>
        </is>
      </c>
      <c r="G8" s="4" t="inlineStr">
        <is>
          <t>WBS, jadwal, dan pembagian peran tersedia rinci dan realistis; setiap anggota tim memiliki tanggung jawab modul yang jelas.</t>
        </is>
      </c>
      <c r="H8" s="4" t="inlineStr">
        <is>
          <t>WBS, jadwal, dan pembagian peran tersedia rinci, realistis, dan saling konsisten; beban kerja antaranggota tim tergambar seimbang dan risiko keterlambatan diantisipasi.</t>
        </is>
      </c>
    </row>
    <row r="9" ht="92" customHeight="1">
      <c r="A9" s="9" t="n">
        <v>6</v>
      </c>
      <c r="B9" s="4" t="inlineStr">
        <is>
          <t>Kelengkapan dan Kualitas Dokumen (Lampiran, Kerapian, Konsistensi Antar-bagian)</t>
        </is>
      </c>
      <c r="C9" s="9" t="n">
        <v>10</v>
      </c>
      <c r="D9" s="4" t="inlineStr">
        <is>
          <t>Dokumen tidak lengkap (bagian wajib hilang), format tidak rapi, dan/atau isi antar-bagian saling bertentangan.</t>
        </is>
      </c>
      <c r="E9" s="4" t="inlineStr">
        <is>
          <t>Dokumen memuat sebagian besar bagian wajib namun ada yang hilang/kurang lengkap; format dan konsistensi antar-bagian masih lemah.</t>
        </is>
      </c>
      <c r="F9" s="4" t="inlineStr">
        <is>
          <t>Dokumen lengkap secara struktur, format cukup rapi, namun ditemukan beberapa inkonsistensi kecil antar-bagian.</t>
        </is>
      </c>
      <c r="G9" s="4" t="inlineStr">
        <is>
          <t>Dokumen lengkap, rapi, dan konsisten antar-bagian, dengan lampiran pendukung yang relevan.</t>
        </is>
      </c>
      <c r="H9" s="4" t="inlineStr">
        <is>
          <t>Dokumen lengkap, rapi, dan konsisten penuh antar-bagian; lampiran pendukung relevan dan memperkuat argumen proposal secara keseluruhan.</t>
        </is>
      </c>
    </row>
    <row r="10">
      <c r="B10" s="10" t="inlineStr">
        <is>
          <t>Total Bobot</t>
        </is>
      </c>
      <c r="C10" s="11">
        <f>SUM(C4:C9)</f>
        <v/>
      </c>
    </row>
  </sheetData>
  <mergeCells count="1">
    <mergeCell ref="A1:H1"/>
  </mergeCells>
  <conditionalFormatting sqref="C10">
    <cfRule type="cellIs" priority="1" operator="notEqual" dxfId="0">
      <formula>100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Manajemen Proyek</t>
        </is>
      </c>
      <c r="B1" s="7" t="n"/>
      <c r="C1" s="7" t="n"/>
      <c r="D1" s="7" t="n"/>
      <c r="E1" s="7" t="n"/>
      <c r="F1" s="7" t="n"/>
      <c r="G1" s="7" t="n"/>
      <c r="H1" s="7" t="n"/>
      <c r="I1" s="7" t="n"/>
      <c r="J1" s="7" t="n"/>
      <c r="K1" s="7" t="n"/>
      <c r="L1" s="7" t="n"/>
      <c r="M1" s="7" t="n"/>
      <c r="N1" s="7" t="n"/>
    </row>
    <row r="2" ht="18" customHeight="1">
      <c r="A2" s="2" t="inlineStr">
        <is>
          <t>Kelas TI_2C - Dosen Pengampu: Ahmadi Yuli Ananta, ST., M.M.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3</t>
        </is>
      </c>
      <c r="C7" s="14" t="inlineStr">
        <is>
          <t>Afiva Maylinda</t>
        </is>
      </c>
      <c r="D7" s="15" t="inlineStr">
        <is>
          <t>Afiva Maylinda (254107020069)
Muhammad Akmal Dwiansyah Putra (254107020110)
Muhammad Zainur Roziqin (254107020081)
Valent Ridho Putra Santoso (254107020050)</t>
        </is>
      </c>
      <c r="E7" s="4" t="inlineStr">
        <is>
          <t>SIMER</t>
        </is>
      </c>
      <c r="F7" s="16" t="n"/>
      <c r="G7" s="16" t="n"/>
      <c r="H7" s="16" t="n"/>
      <c r="I7" s="16" t="n"/>
      <c r="J7" s="16" t="n"/>
      <c r="K7" s="16" t="n"/>
      <c r="L7" s="11">
        <f>IF(COUNT(F7:K7)&lt;6,"",SUMPRODUCT(F7:K7,$F$6:$K$6)/SUM($F$6:$K$6)/5*100)</f>
        <v/>
      </c>
      <c r="M7" s="15" t="n"/>
      <c r="N7" s="17" t="inlineStr">
        <is>
          <t>Buka tautan Drive</t>
        </is>
      </c>
    </row>
    <row r="8">
      <c r="A8" s="9" t="n">
        <v>2</v>
      </c>
      <c r="B8" s="14" t="inlineStr">
        <is>
          <t>Hebat Dan Dahsyat</t>
        </is>
      </c>
      <c r="C8" s="14" t="inlineStr">
        <is>
          <t>Erhan Hendragian Permana</t>
        </is>
      </c>
      <c r="D8" s="15" t="inlineStr">
        <is>
          <t>Rasyiq Satrio Musthafa (254107020079)
Hamas Abdur Rahman (254107020082)
Erhan Hendragian Permana (254107020043)
Fadila Mayamasita SARJANA TERAPAN TEKNIK INFORMATIKA (254107020012)</t>
        </is>
      </c>
      <c r="E8" s="4" t="inlineStr">
        <is>
          <t>DoTo</t>
        </is>
      </c>
      <c r="F8" s="16" t="n"/>
      <c r="G8" s="16" t="n"/>
      <c r="H8" s="16" t="n"/>
      <c r="I8" s="16" t="n"/>
      <c r="J8" s="16" t="n"/>
      <c r="K8" s="16" t="n"/>
      <c r="L8" s="11">
        <f>IF(COUNT(F8:K8)&lt;6,"",SUMPRODUCT(F8:K8,$F$6:$K$6)/SUM($F$6:$K$6)/5*100)</f>
        <v/>
      </c>
      <c r="M8" s="15" t="n"/>
      <c r="N8" s="17" t="inlineStr">
        <is>
          <t>Buka tautan Drive</t>
        </is>
      </c>
    </row>
    <row r="9">
      <c r="A9" s="9" t="n">
        <v>3</v>
      </c>
      <c r="B9" s="14" t="inlineStr">
        <is>
          <t>SIPREI</t>
        </is>
      </c>
      <c r="C9" s="14" t="inlineStr">
        <is>
          <t>Raysha Aida Azalia</t>
        </is>
      </c>
      <c r="D9" s="15" t="inlineStr">
        <is>
          <t>Adiatma Wahyudi (254107020212)
Muhammad Figo Ferdyano Taufik (254107020125)
Raysha Aida Azalia (254107020024)
Vico Dwi Wijaya (254107020259)</t>
        </is>
      </c>
      <c r="E9" s="4" t="inlineStr">
        <is>
          <t>SIPREI: Sistem Informasi Pemesanan dan Pengendalian Persediaan Barang pada Toko Sprei</t>
        </is>
      </c>
      <c r="F9" s="16" t="n"/>
      <c r="G9" s="16" t="n"/>
      <c r="H9" s="16" t="n"/>
      <c r="I9" s="16" t="n"/>
      <c r="J9" s="16" t="n"/>
      <c r="K9" s="16" t="n"/>
      <c r="L9" s="11">
        <f>IF(COUNT(F9:K9)&lt;6,"",SUMPRODUCT(F9:K9,$F$6:$K$6)/SUM($F$6:$K$6)/5*100)</f>
        <v/>
      </c>
      <c r="M9" s="15" t="n"/>
      <c r="N9" s="17" t="inlineStr">
        <is>
          <t>Buka tautan Drive</t>
        </is>
      </c>
    </row>
    <row r="10">
      <c r="A10" s="9" t="n">
        <v>4</v>
      </c>
      <c r="B10" s="14" t="inlineStr">
        <is>
          <t>Kelompok 5</t>
        </is>
      </c>
      <c r="C10" s="14" t="inlineStr">
        <is>
          <t>Ayu Wardatul Widad</t>
        </is>
      </c>
      <c r="D10" s="15" t="inlineStr">
        <is>
          <t>Ayu Wardatul Widad (254107020171)
Ibrahim Movic (254107020158)
M. Rayyan Abie Dewanata (254107020195)
Rivaldo Aditya Putra (254107020162)</t>
        </is>
      </c>
      <c r="E10" s="4" t="inlineStr">
        <is>
          <t>Sistem Manajemen Studio Kreatif (SIMASIF)</t>
        </is>
      </c>
      <c r="F10" s="16" t="n"/>
      <c r="G10" s="16" t="n"/>
      <c r="H10" s="16" t="n"/>
      <c r="I10" s="16" t="n"/>
      <c r="J10" s="16" t="n"/>
      <c r="K10" s="16" t="n"/>
      <c r="L10" s="11">
        <f>IF(COUNT(F10:K10)&lt;6,"",SUMPRODUCT(F10:K10,$F$6:$K$6)/SUM($F$6:$K$6)/5*100)</f>
        <v/>
      </c>
      <c r="M10" s="15" t="n"/>
      <c r="N10" s="17" t="inlineStr">
        <is>
          <t>Buka tautan Drive</t>
        </is>
      </c>
    </row>
    <row r="11">
      <c r="A11" s="9" t="n">
        <v>5</v>
      </c>
      <c r="B11" s="14" t="inlineStr">
        <is>
          <t>BOSS SYNDICATE</t>
        </is>
      </c>
      <c r="C11" s="14" t="inlineStr">
        <is>
          <t>Wildan Dwi Triatna Kusuma</t>
        </is>
      </c>
      <c r="D11" s="15" t="inlineStr">
        <is>
          <t>Agung Satriyo Gusti (254107020228)
Danendra Dewani A (254107020114)
Galang Satriyo A.W (254107020231)
Reza Surya Pratama (254107020046)
Wildan Dwi Triatna K (254107020030)</t>
        </is>
      </c>
      <c r="E11" s="4" t="inlineStr">
        <is>
          <t>RISMA (Inventaris Smart)</t>
        </is>
      </c>
      <c r="F11" s="16" t="n"/>
      <c r="G11" s="16" t="n"/>
      <c r="H11" s="16" t="n"/>
      <c r="I11" s="16" t="n"/>
      <c r="J11" s="16" t="n"/>
      <c r="K11" s="16" t="n"/>
      <c r="L11" s="11">
        <f>IF(COUNT(F11:K11)&lt;6,"",SUMPRODUCT(F11:K11,$F$6:$K$6)/SUM($F$6:$K$6)/5*100)</f>
        <v/>
      </c>
      <c r="M11" s="15" t="n"/>
      <c r="N11" s="17" t="inlineStr">
        <is>
          <t>Buka tautan Drive</t>
        </is>
      </c>
    </row>
  </sheetData>
  <mergeCells count="3">
    <mergeCell ref="A4:N4"/>
    <mergeCell ref="A2:N2"/>
    <mergeCell ref="A1:N1"/>
  </mergeCells>
  <dataValidations count="1">
    <dataValidation sqref="F7 F8 F9 F10 F11 G7 G8 G9 G10 G11 H7 H8 H9 H10 H11 I7 I8 I9 I10 I11 J7 J8 J9 J10 J11 K7 K8 K9 K10 K11"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Desain &amp; Pemrograman Web</t>
        </is>
      </c>
      <c r="B1" s="7" t="n"/>
      <c r="C1" s="7" t="n"/>
      <c r="D1" s="7" t="n"/>
      <c r="E1" s="7" t="n"/>
      <c r="F1" s="7" t="n"/>
      <c r="G1" s="7" t="n"/>
      <c r="H1" s="7" t="n"/>
      <c r="I1" s="7" t="n"/>
      <c r="J1" s="7" t="n"/>
      <c r="K1" s="7" t="n"/>
      <c r="L1" s="7" t="n"/>
      <c r="M1" s="7" t="n"/>
      <c r="N1" s="7" t="n"/>
    </row>
    <row r="2" ht="18" customHeight="1">
      <c r="A2" s="2" t="inlineStr">
        <is>
          <t>Kelas TI_2C - Dosen Pengampu: Muhammad Unggul Pamenang, S.St., M.T.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3</t>
        </is>
      </c>
      <c r="C7" s="14" t="inlineStr">
        <is>
          <t>Afiva Maylinda</t>
        </is>
      </c>
      <c r="D7" s="15" t="inlineStr">
        <is>
          <t>Afiva Maylinda (254107020069)
Muhammad Akmal Dwiansyah Putra (254107020110)
Muhammad Zainur Roziqin (254107020081)
Valent Ridho Putra Santoso (254107020050)</t>
        </is>
      </c>
      <c r="E7" s="4" t="inlineStr">
        <is>
          <t>SIMER</t>
        </is>
      </c>
      <c r="F7" s="16" t="n"/>
      <c r="G7" s="16" t="n"/>
      <c r="H7" s="16" t="n"/>
      <c r="I7" s="16" t="n"/>
      <c r="J7" s="16" t="n"/>
      <c r="K7" s="16" t="n"/>
      <c r="L7" s="11">
        <f>IF(COUNT(F7:K7)&lt;6,"",SUMPRODUCT(F7:K7,$F$6:$K$6)/SUM($F$6:$K$6)/5*100)</f>
        <v/>
      </c>
      <c r="M7" s="15" t="n"/>
      <c r="N7" s="17" t="inlineStr">
        <is>
          <t>Buka tautan Drive</t>
        </is>
      </c>
    </row>
    <row r="8">
      <c r="A8" s="9" t="n">
        <v>2</v>
      </c>
      <c r="B8" s="14" t="inlineStr">
        <is>
          <t>Hebat Dan Dahsyat</t>
        </is>
      </c>
      <c r="C8" s="14" t="inlineStr">
        <is>
          <t>Erhan Hendragian Permana</t>
        </is>
      </c>
      <c r="D8" s="15" t="inlineStr">
        <is>
          <t>Rasyiq Satrio Musthafa (254107020079)
Hamas Abdur Rahman (254107020082)
Erhan Hendragian Permana (254107020043)
Fadila Mayamasita SARJANA TERAPAN TEKNIK INFORMATIKA (254107020012)</t>
        </is>
      </c>
      <c r="E8" s="4" t="inlineStr">
        <is>
          <t>DoTo</t>
        </is>
      </c>
      <c r="F8" s="16" t="n"/>
      <c r="G8" s="16" t="n"/>
      <c r="H8" s="16" t="n"/>
      <c r="I8" s="16" t="n"/>
      <c r="J8" s="16" t="n"/>
      <c r="K8" s="16" t="n"/>
      <c r="L8" s="11">
        <f>IF(COUNT(F8:K8)&lt;6,"",SUMPRODUCT(F8:K8,$F$6:$K$6)/SUM($F$6:$K$6)/5*100)</f>
        <v/>
      </c>
      <c r="M8" s="15" t="n"/>
      <c r="N8" s="17" t="inlineStr">
        <is>
          <t>Buka tautan Drive</t>
        </is>
      </c>
    </row>
    <row r="9">
      <c r="A9" s="9" t="n">
        <v>3</v>
      </c>
      <c r="B9" s="14" t="inlineStr">
        <is>
          <t>SIPREI</t>
        </is>
      </c>
      <c r="C9" s="14" t="inlineStr">
        <is>
          <t>Raysha Aida Azalia</t>
        </is>
      </c>
      <c r="D9" s="15" t="inlineStr">
        <is>
          <t>Adiatma Wahyudi (254107020212)
Muhammad Figo Ferdyano Taufik (254107020125)
Raysha Aida Azalia (254107020024)
Vico Dwi Wijaya (254107020259)</t>
        </is>
      </c>
      <c r="E9" s="4" t="inlineStr">
        <is>
          <t>SIPREI: Sistem Informasi Pemesanan dan Pengendalian Persediaan Barang pada Toko Sprei</t>
        </is>
      </c>
      <c r="F9" s="16" t="n"/>
      <c r="G9" s="16" t="n"/>
      <c r="H9" s="16" t="n"/>
      <c r="I9" s="16" t="n"/>
      <c r="J9" s="16" t="n"/>
      <c r="K9" s="16" t="n"/>
      <c r="L9" s="11">
        <f>IF(COUNT(F9:K9)&lt;6,"",SUMPRODUCT(F9:K9,$F$6:$K$6)/SUM($F$6:$K$6)/5*100)</f>
        <v/>
      </c>
      <c r="M9" s="15" t="n"/>
      <c r="N9" s="17" t="inlineStr">
        <is>
          <t>Buka tautan Drive</t>
        </is>
      </c>
    </row>
    <row r="10">
      <c r="A10" s="9" t="n">
        <v>4</v>
      </c>
      <c r="B10" s="14" t="inlineStr">
        <is>
          <t>Kelompok 5</t>
        </is>
      </c>
      <c r="C10" s="14" t="inlineStr">
        <is>
          <t>Ayu Wardatul Widad</t>
        </is>
      </c>
      <c r="D10" s="15" t="inlineStr">
        <is>
          <t>Ayu Wardatul Widad (254107020171)
Ibrahim Movic (254107020158)
M. Rayyan Abie Dewanata (254107020195)
Rivaldo Aditya Putra (254107020162)</t>
        </is>
      </c>
      <c r="E10" s="4" t="inlineStr">
        <is>
          <t>Sistem Manajemen Studio Kreatif (SIMASIF)</t>
        </is>
      </c>
      <c r="F10" s="16" t="n"/>
      <c r="G10" s="16" t="n"/>
      <c r="H10" s="16" t="n"/>
      <c r="I10" s="16" t="n"/>
      <c r="J10" s="16" t="n"/>
      <c r="K10" s="16" t="n"/>
      <c r="L10" s="11">
        <f>IF(COUNT(F10:K10)&lt;6,"",SUMPRODUCT(F10:K10,$F$6:$K$6)/SUM($F$6:$K$6)/5*100)</f>
        <v/>
      </c>
      <c r="M10" s="15" t="n"/>
      <c r="N10" s="17" t="inlineStr">
        <is>
          <t>Buka tautan Drive</t>
        </is>
      </c>
    </row>
    <row r="11">
      <c r="A11" s="9" t="n">
        <v>5</v>
      </c>
      <c r="B11" s="14" t="inlineStr">
        <is>
          <t>BOSS SYNDICATE</t>
        </is>
      </c>
      <c r="C11" s="14" t="inlineStr">
        <is>
          <t>Wildan Dwi Triatna Kusuma</t>
        </is>
      </c>
      <c r="D11" s="15" t="inlineStr">
        <is>
          <t>Agung Satriyo Gusti (254107020228)
Danendra Dewani A (254107020114)
Galang Satriyo A.W (254107020231)
Reza Surya Pratama (254107020046)
Wildan Dwi Triatna K (254107020030)</t>
        </is>
      </c>
      <c r="E11" s="4" t="inlineStr">
        <is>
          <t>RISMA (Inventaris Smart)</t>
        </is>
      </c>
      <c r="F11" s="16" t="n"/>
      <c r="G11" s="16" t="n"/>
      <c r="H11" s="16" t="n"/>
      <c r="I11" s="16" t="n"/>
      <c r="J11" s="16" t="n"/>
      <c r="K11" s="16" t="n"/>
      <c r="L11" s="11">
        <f>IF(COUNT(F11:K11)&lt;6,"",SUMPRODUCT(F11:K11,$F$6:$K$6)/SUM($F$6:$K$6)/5*100)</f>
        <v/>
      </c>
      <c r="M11" s="15" t="n"/>
      <c r="N11" s="17" t="inlineStr">
        <is>
          <t>Buka tautan Drive</t>
        </is>
      </c>
    </row>
  </sheetData>
  <mergeCells count="3">
    <mergeCell ref="A4:N4"/>
    <mergeCell ref="A2:N2"/>
    <mergeCell ref="A1:N1"/>
  </mergeCells>
  <dataValidations count="1">
    <dataValidation sqref="F7 F8 F9 F10 F11 G7 G8 G9 G10 G11 H7 H8 H9 H10 H11 I7 I8 I9 I10 I11 J7 J8 J9 J10 J11 K7 K8 K9 K10 K11"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Basis Data Lanjut</t>
        </is>
      </c>
      <c r="B1" s="7" t="n"/>
      <c r="C1" s="7" t="n"/>
      <c r="D1" s="7" t="n"/>
      <c r="E1" s="7" t="n"/>
      <c r="F1" s="7" t="n"/>
      <c r="G1" s="7" t="n"/>
      <c r="H1" s="7" t="n"/>
      <c r="I1" s="7" t="n"/>
      <c r="J1" s="7" t="n"/>
      <c r="K1" s="7" t="n"/>
      <c r="L1" s="7" t="n"/>
      <c r="M1" s="7" t="n"/>
      <c r="N1" s="7" t="n"/>
    </row>
    <row r="2" ht="18" customHeight="1">
      <c r="A2" s="2" t="inlineStr">
        <is>
          <t>Kelas TI_2C - Dosen Pengampu: Candra Bella Vista, S.Kom., MT.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3</t>
        </is>
      </c>
      <c r="C7" s="14" t="inlineStr">
        <is>
          <t>Afiva Maylinda</t>
        </is>
      </c>
      <c r="D7" s="15" t="inlineStr">
        <is>
          <t>Afiva Maylinda (254107020069)
Muhammad Akmal Dwiansyah Putra (254107020110)
Muhammad Zainur Roziqin (254107020081)
Valent Ridho Putra Santoso (254107020050)</t>
        </is>
      </c>
      <c r="E7" s="4" t="inlineStr">
        <is>
          <t>SIMER</t>
        </is>
      </c>
      <c r="F7" s="16" t="n"/>
      <c r="G7" s="16" t="n"/>
      <c r="H7" s="16" t="n"/>
      <c r="I7" s="16" t="n"/>
      <c r="J7" s="16" t="n"/>
      <c r="K7" s="16" t="n"/>
      <c r="L7" s="11">
        <f>IF(COUNT(F7:K7)&lt;6,"",SUMPRODUCT(F7:K7,$F$6:$K$6)/SUM($F$6:$K$6)/5*100)</f>
        <v/>
      </c>
      <c r="M7" s="15" t="n"/>
      <c r="N7" s="17" t="inlineStr">
        <is>
          <t>Buka tautan Drive</t>
        </is>
      </c>
    </row>
    <row r="8">
      <c r="A8" s="9" t="n">
        <v>2</v>
      </c>
      <c r="B8" s="14" t="inlineStr">
        <is>
          <t>Hebat Dan Dahsyat</t>
        </is>
      </c>
      <c r="C8" s="14" t="inlineStr">
        <is>
          <t>Erhan Hendragian Permana</t>
        </is>
      </c>
      <c r="D8" s="15" t="inlineStr">
        <is>
          <t>Rasyiq Satrio Musthafa (254107020079)
Hamas Abdur Rahman (254107020082)
Erhan Hendragian Permana (254107020043)
Fadila Mayamasita SARJANA TERAPAN TEKNIK INFORMATIKA (254107020012)</t>
        </is>
      </c>
      <c r="E8" s="4" t="inlineStr">
        <is>
          <t>DoTo</t>
        </is>
      </c>
      <c r="F8" s="16" t="n"/>
      <c r="G8" s="16" t="n"/>
      <c r="H8" s="16" t="n"/>
      <c r="I8" s="16" t="n"/>
      <c r="J8" s="16" t="n"/>
      <c r="K8" s="16" t="n"/>
      <c r="L8" s="11">
        <f>IF(COUNT(F8:K8)&lt;6,"",SUMPRODUCT(F8:K8,$F$6:$K$6)/SUM($F$6:$K$6)/5*100)</f>
        <v/>
      </c>
      <c r="M8" s="15" t="n"/>
      <c r="N8" s="17" t="inlineStr">
        <is>
          <t>Buka tautan Drive</t>
        </is>
      </c>
    </row>
    <row r="9">
      <c r="A9" s="9" t="n">
        <v>3</v>
      </c>
      <c r="B9" s="14" t="inlineStr">
        <is>
          <t>SIPREI</t>
        </is>
      </c>
      <c r="C9" s="14" t="inlineStr">
        <is>
          <t>Raysha Aida Azalia</t>
        </is>
      </c>
      <c r="D9" s="15" t="inlineStr">
        <is>
          <t>Adiatma Wahyudi (254107020212)
Muhammad Figo Ferdyano Taufik (254107020125)
Raysha Aida Azalia (254107020024)
Vico Dwi Wijaya (254107020259)</t>
        </is>
      </c>
      <c r="E9" s="4" t="inlineStr">
        <is>
          <t>SIPREI: Sistem Informasi Pemesanan dan Pengendalian Persediaan Barang pada Toko Sprei</t>
        </is>
      </c>
      <c r="F9" s="16" t="n"/>
      <c r="G9" s="16" t="n"/>
      <c r="H9" s="16" t="n"/>
      <c r="I9" s="16" t="n"/>
      <c r="J9" s="16" t="n"/>
      <c r="K9" s="16" t="n"/>
      <c r="L9" s="11">
        <f>IF(COUNT(F9:K9)&lt;6,"",SUMPRODUCT(F9:K9,$F$6:$K$6)/SUM($F$6:$K$6)/5*100)</f>
        <v/>
      </c>
      <c r="M9" s="15" t="n"/>
      <c r="N9" s="17" t="inlineStr">
        <is>
          <t>Buka tautan Drive</t>
        </is>
      </c>
    </row>
    <row r="10">
      <c r="A10" s="9" t="n">
        <v>4</v>
      </c>
      <c r="B10" s="14" t="inlineStr">
        <is>
          <t>Kelompok 5</t>
        </is>
      </c>
      <c r="C10" s="14" t="inlineStr">
        <is>
          <t>Ayu Wardatul Widad</t>
        </is>
      </c>
      <c r="D10" s="15" t="inlineStr">
        <is>
          <t>Ayu Wardatul Widad (254107020171)
Ibrahim Movic (254107020158)
M. Rayyan Abie Dewanata (254107020195)
Rivaldo Aditya Putra (254107020162)</t>
        </is>
      </c>
      <c r="E10" s="4" t="inlineStr">
        <is>
          <t>Sistem Manajemen Studio Kreatif (SIMASIF)</t>
        </is>
      </c>
      <c r="F10" s="16" t="n"/>
      <c r="G10" s="16" t="n"/>
      <c r="H10" s="16" t="n"/>
      <c r="I10" s="16" t="n"/>
      <c r="J10" s="16" t="n"/>
      <c r="K10" s="16" t="n"/>
      <c r="L10" s="11">
        <f>IF(COUNT(F10:K10)&lt;6,"",SUMPRODUCT(F10:K10,$F$6:$K$6)/SUM($F$6:$K$6)/5*100)</f>
        <v/>
      </c>
      <c r="M10" s="15" t="n"/>
      <c r="N10" s="17" t="inlineStr">
        <is>
          <t>Buka tautan Drive</t>
        </is>
      </c>
    </row>
    <row r="11">
      <c r="A11" s="9" t="n">
        <v>5</v>
      </c>
      <c r="B11" s="14" t="inlineStr">
        <is>
          <t>BOSS SYNDICATE</t>
        </is>
      </c>
      <c r="C11" s="14" t="inlineStr">
        <is>
          <t>Wildan Dwi Triatna Kusuma</t>
        </is>
      </c>
      <c r="D11" s="15" t="inlineStr">
        <is>
          <t>Agung Satriyo Gusti (254107020228)
Danendra Dewani A (254107020114)
Galang Satriyo A.W (254107020231)
Reza Surya Pratama (254107020046)
Wildan Dwi Triatna K (254107020030)</t>
        </is>
      </c>
      <c r="E11" s="4" t="inlineStr">
        <is>
          <t>RISMA (Inventaris Smart)</t>
        </is>
      </c>
      <c r="F11" s="16" t="n"/>
      <c r="G11" s="16" t="n"/>
      <c r="H11" s="16" t="n"/>
      <c r="I11" s="16" t="n"/>
      <c r="J11" s="16" t="n"/>
      <c r="K11" s="16" t="n"/>
      <c r="L11" s="11">
        <f>IF(COUNT(F11:K11)&lt;6,"",SUMPRODUCT(F11:K11,$F$6:$K$6)/SUM($F$6:$K$6)/5*100)</f>
        <v/>
      </c>
      <c r="M11" s="15" t="n"/>
      <c r="N11" s="17" t="inlineStr">
        <is>
          <t>Buka tautan Drive</t>
        </is>
      </c>
    </row>
  </sheetData>
  <mergeCells count="3">
    <mergeCell ref="A4:N4"/>
    <mergeCell ref="A2:N2"/>
    <mergeCell ref="A1:N1"/>
  </mergeCells>
  <dataValidations count="1">
    <dataValidation sqref="F7 F8 F9 F10 F11 G7 G8 G9 G10 G11 H7 H8 H9 H10 H11 I7 I8 I9 I10 I11 J7 J8 J9 J10 J11 K7 K8 K9 K10 K11"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Sistem Informasi Manajemen</t>
        </is>
      </c>
      <c r="B1" s="7" t="n"/>
      <c r="C1" s="7" t="n"/>
      <c r="D1" s="7" t="n"/>
      <c r="E1" s="7" t="n"/>
      <c r="F1" s="7" t="n"/>
      <c r="G1" s="7" t="n"/>
      <c r="H1" s="7" t="n"/>
      <c r="I1" s="7" t="n"/>
      <c r="J1" s="7" t="n"/>
      <c r="K1" s="7" t="n"/>
      <c r="L1" s="7" t="n"/>
      <c r="M1" s="7" t="n"/>
      <c r="N1" s="7" t="n"/>
    </row>
    <row r="2" ht="18" customHeight="1">
      <c r="A2" s="2" t="inlineStr">
        <is>
          <t>Kelas TI_2C - Dosen Pengampu: Ariadi Retno Ririd, S.Kom., M.Kom.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3</t>
        </is>
      </c>
      <c r="C7" s="14" t="inlineStr">
        <is>
          <t>Afiva Maylinda</t>
        </is>
      </c>
      <c r="D7" s="15" t="inlineStr">
        <is>
          <t>Afiva Maylinda (254107020069)
Muhammad Akmal Dwiansyah Putra (254107020110)
Muhammad Zainur Roziqin (254107020081)
Valent Ridho Putra Santoso (254107020050)</t>
        </is>
      </c>
      <c r="E7" s="4" t="inlineStr">
        <is>
          <t>SIMER</t>
        </is>
      </c>
      <c r="F7" s="16" t="n"/>
      <c r="G7" s="16" t="n"/>
      <c r="H7" s="16" t="n"/>
      <c r="I7" s="16" t="n"/>
      <c r="J7" s="16" t="n"/>
      <c r="K7" s="16" t="n"/>
      <c r="L7" s="11">
        <f>IF(COUNT(F7:K7)&lt;6,"",SUMPRODUCT(F7:K7,$F$6:$K$6)/SUM($F$6:$K$6)/5*100)</f>
        <v/>
      </c>
      <c r="M7" s="15" t="n"/>
      <c r="N7" s="17" t="inlineStr">
        <is>
          <t>Buka tautan Drive</t>
        </is>
      </c>
    </row>
    <row r="8">
      <c r="A8" s="9" t="n">
        <v>2</v>
      </c>
      <c r="B8" s="14" t="inlineStr">
        <is>
          <t>Hebat Dan Dahsyat</t>
        </is>
      </c>
      <c r="C8" s="14" t="inlineStr">
        <is>
          <t>Erhan Hendragian Permana</t>
        </is>
      </c>
      <c r="D8" s="15" t="inlineStr">
        <is>
          <t>Rasyiq Satrio Musthafa (254107020079)
Hamas Abdur Rahman (254107020082)
Erhan Hendragian Permana (254107020043)
Fadila Mayamasita SARJANA TERAPAN TEKNIK INFORMATIKA (254107020012)</t>
        </is>
      </c>
      <c r="E8" s="4" t="inlineStr">
        <is>
          <t>DoTo</t>
        </is>
      </c>
      <c r="F8" s="16" t="n"/>
      <c r="G8" s="16" t="n"/>
      <c r="H8" s="16" t="n"/>
      <c r="I8" s="16" t="n"/>
      <c r="J8" s="16" t="n"/>
      <c r="K8" s="16" t="n"/>
      <c r="L8" s="11">
        <f>IF(COUNT(F8:K8)&lt;6,"",SUMPRODUCT(F8:K8,$F$6:$K$6)/SUM($F$6:$K$6)/5*100)</f>
        <v/>
      </c>
      <c r="M8" s="15" t="n"/>
      <c r="N8" s="17" t="inlineStr">
        <is>
          <t>Buka tautan Drive</t>
        </is>
      </c>
    </row>
    <row r="9">
      <c r="A9" s="9" t="n">
        <v>3</v>
      </c>
      <c r="B9" s="14" t="inlineStr">
        <is>
          <t>SIPREI</t>
        </is>
      </c>
      <c r="C9" s="14" t="inlineStr">
        <is>
          <t>Raysha Aida Azalia</t>
        </is>
      </c>
      <c r="D9" s="15" t="inlineStr">
        <is>
          <t>Adiatma Wahyudi (254107020212)
Muhammad Figo Ferdyano Taufik (254107020125)
Raysha Aida Azalia (254107020024)
Vico Dwi Wijaya (254107020259)</t>
        </is>
      </c>
      <c r="E9" s="4" t="inlineStr">
        <is>
          <t>SIPREI: Sistem Informasi Pemesanan dan Pengendalian Persediaan Barang pada Toko Sprei</t>
        </is>
      </c>
      <c r="F9" s="16" t="n"/>
      <c r="G9" s="16" t="n"/>
      <c r="H9" s="16" t="n"/>
      <c r="I9" s="16" t="n"/>
      <c r="J9" s="16" t="n"/>
      <c r="K9" s="16" t="n"/>
      <c r="L9" s="11">
        <f>IF(COUNT(F9:K9)&lt;6,"",SUMPRODUCT(F9:K9,$F$6:$K$6)/SUM($F$6:$K$6)/5*100)</f>
        <v/>
      </c>
      <c r="M9" s="15" t="n"/>
      <c r="N9" s="17" t="inlineStr">
        <is>
          <t>Buka tautan Drive</t>
        </is>
      </c>
    </row>
    <row r="10">
      <c r="A10" s="9" t="n">
        <v>4</v>
      </c>
      <c r="B10" s="14" t="inlineStr">
        <is>
          <t>Kelompok 5</t>
        </is>
      </c>
      <c r="C10" s="14" t="inlineStr">
        <is>
          <t>Ayu Wardatul Widad</t>
        </is>
      </c>
      <c r="D10" s="15" t="inlineStr">
        <is>
          <t>Ayu Wardatul Widad (254107020171)
Ibrahim Movic (254107020158)
M. Rayyan Abie Dewanata (254107020195)
Rivaldo Aditya Putra (254107020162)</t>
        </is>
      </c>
      <c r="E10" s="4" t="inlineStr">
        <is>
          <t>Sistem Manajemen Studio Kreatif (SIMASIF)</t>
        </is>
      </c>
      <c r="F10" s="16" t="n"/>
      <c r="G10" s="16" t="n"/>
      <c r="H10" s="16" t="n"/>
      <c r="I10" s="16" t="n"/>
      <c r="J10" s="16" t="n"/>
      <c r="K10" s="16" t="n"/>
      <c r="L10" s="11">
        <f>IF(COUNT(F10:K10)&lt;6,"",SUMPRODUCT(F10:K10,$F$6:$K$6)/SUM($F$6:$K$6)/5*100)</f>
        <v/>
      </c>
      <c r="M10" s="15" t="n"/>
      <c r="N10" s="17" t="inlineStr">
        <is>
          <t>Buka tautan Drive</t>
        </is>
      </c>
    </row>
    <row r="11">
      <c r="A11" s="9" t="n">
        <v>5</v>
      </c>
      <c r="B11" s="14" t="inlineStr">
        <is>
          <t>BOSS SYNDICATE</t>
        </is>
      </c>
      <c r="C11" s="14" t="inlineStr">
        <is>
          <t>Wildan Dwi Triatna Kusuma</t>
        </is>
      </c>
      <c r="D11" s="15" t="inlineStr">
        <is>
          <t>Agung Satriyo Gusti (254107020228)
Danendra Dewani A (254107020114)
Galang Satriyo A.W (254107020231)
Reza Surya Pratama (254107020046)
Wildan Dwi Triatna K (254107020030)</t>
        </is>
      </c>
      <c r="E11" s="4" t="inlineStr">
        <is>
          <t>RISMA (Inventaris Smart)</t>
        </is>
      </c>
      <c r="F11" s="16" t="n"/>
      <c r="G11" s="16" t="n"/>
      <c r="H11" s="16" t="n"/>
      <c r="I11" s="16" t="n"/>
      <c r="J11" s="16" t="n"/>
      <c r="K11" s="16" t="n"/>
      <c r="L11" s="11">
        <f>IF(COUNT(F11:K11)&lt;6,"",SUMPRODUCT(F11:K11,$F$6:$K$6)/SUM($F$6:$K$6)/5*100)</f>
        <v/>
      </c>
      <c r="M11" s="15" t="n"/>
      <c r="N11" s="17" t="inlineStr">
        <is>
          <t>Buka tautan Drive</t>
        </is>
      </c>
    </row>
  </sheetData>
  <mergeCells count="3">
    <mergeCell ref="A4:N4"/>
    <mergeCell ref="A2:N2"/>
    <mergeCell ref="A1:N1"/>
  </mergeCells>
  <dataValidations count="1">
    <dataValidation sqref="F7 F8 F9 F10 F11 G7 G8 G9 G10 G11 H7 H8 H9 H10 H11 I7 I8 I9 I10 I11 J7 J8 J9 J10 J11 K7 K8 K9 K10 K11"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2" customWidth="1" min="6" max="6"/>
    <col width="26" customWidth="1" min="7" max="7"/>
    <col width="12" customWidth="1" min="8" max="8"/>
    <col width="26" customWidth="1" min="9" max="9"/>
    <col width="12" customWidth="1" min="10" max="10"/>
    <col width="26" customWidth="1" min="11" max="11"/>
    <col width="12" customWidth="1" min="12" max="12"/>
    <col width="26" customWidth="1" min="13" max="13"/>
    <col width="14" customWidth="1" min="14" max="14"/>
    <col width="24" customWidth="1" min="15" max="15"/>
  </cols>
  <sheetData>
    <row r="1" ht="26" customHeight="1">
      <c r="A1" s="1" t="inlineStr">
        <is>
          <t>Rekap Nilai Proposal - Kelas TI_2C (Semua Dosen)</t>
        </is>
      </c>
      <c r="B1" s="7" t="n"/>
      <c r="C1" s="7" t="n"/>
      <c r="D1" s="7" t="n"/>
      <c r="E1" s="7" t="n"/>
      <c r="F1" s="7" t="n"/>
      <c r="G1" s="7" t="n"/>
      <c r="H1" s="7" t="n"/>
      <c r="I1" s="7" t="n"/>
      <c r="J1" s="7" t="n"/>
      <c r="K1" s="7" t="n"/>
      <c r="L1" s="7" t="n"/>
      <c r="M1" s="7" t="n"/>
      <c r="N1" s="7" t="n"/>
      <c r="O1" s="7" t="n"/>
    </row>
    <row r="2" ht="18" customHeight="1">
      <c r="A2" s="2" t="inlineStr">
        <is>
          <t>Semester 3 - Checkpoint Proposal</t>
        </is>
      </c>
      <c r="B2" s="7" t="n"/>
      <c r="C2" s="7" t="n"/>
      <c r="D2" s="7" t="n"/>
      <c r="E2" s="7" t="n"/>
      <c r="F2" s="7" t="n"/>
      <c r="G2" s="7" t="n"/>
      <c r="H2" s="7" t="n"/>
      <c r="I2" s="7" t="n"/>
      <c r="J2" s="7" t="n"/>
      <c r="K2" s="7" t="n"/>
      <c r="L2" s="7" t="n"/>
      <c r="M2" s="7" t="n"/>
      <c r="N2" s="7" t="n"/>
      <c r="O2" s="7" t="n"/>
    </row>
    <row r="4" ht="42" customHeight="1">
      <c r="A4" s="8" t="inlineStr">
        <is>
          <t>No</t>
        </is>
      </c>
      <c r="B4" s="8" t="inlineStr">
        <is>
          <t>Nama Tim</t>
        </is>
      </c>
      <c r="C4" s="8" t="inlineStr">
        <is>
          <t>Nama Ketua Tim</t>
        </is>
      </c>
      <c r="D4" s="8" t="inlineStr">
        <is>
          <t>Anggota Tim</t>
        </is>
      </c>
      <c r="E4" s="8" t="inlineStr">
        <is>
          <t>Judul Produk</t>
        </is>
      </c>
      <c r="F4" s="8" t="inlineStr">
        <is>
          <t>Nilai - Manajemen Proyek</t>
        </is>
      </c>
      <c r="G4" s="8" t="inlineStr">
        <is>
          <t>Revisi - Manajemen Proyek</t>
        </is>
      </c>
      <c r="H4" s="8" t="inlineStr">
        <is>
          <t>Nilai - Desain &amp; Pemrograman Web</t>
        </is>
      </c>
      <c r="I4" s="8" t="inlineStr">
        <is>
          <t>Revisi - Desain &amp; Pemrograman Web</t>
        </is>
      </c>
      <c r="J4" s="8" t="inlineStr">
        <is>
          <t>Nilai - Basis Data Lanjut</t>
        </is>
      </c>
      <c r="K4" s="8" t="inlineStr">
        <is>
          <t>Revisi - Basis Data Lanjut</t>
        </is>
      </c>
      <c r="L4" s="8" t="inlineStr">
        <is>
          <t>Nilai - Sistem Informasi Manajemen</t>
        </is>
      </c>
      <c r="M4" s="8" t="inlineStr">
        <is>
          <t>Revisi - Sistem Informasi Manajemen</t>
        </is>
      </c>
      <c r="N4" s="8" t="inlineStr">
        <is>
          <t>Nilai Rata-rata</t>
        </is>
      </c>
      <c r="O4" s="8" t="inlineStr">
        <is>
          <t>Berkas Proposal</t>
        </is>
      </c>
    </row>
    <row r="5">
      <c r="A5" s="9" t="n">
        <v>1</v>
      </c>
      <c r="B5" s="14" t="inlineStr">
        <is>
          <t>Kelompok 3</t>
        </is>
      </c>
      <c r="C5" s="14" t="inlineStr">
        <is>
          <t>Afiva Maylinda</t>
        </is>
      </c>
      <c r="D5" s="4">
        <f>'Manajemen Proyek'!D7</f>
        <v/>
      </c>
      <c r="E5" s="4" t="inlineStr">
        <is>
          <t>SIMER</t>
        </is>
      </c>
      <c r="F5" s="11">
        <f>'Manajemen Proyek'!L7</f>
        <v/>
      </c>
      <c r="G5" s="4">
        <f>'Manajemen Proyek'!M7</f>
        <v/>
      </c>
      <c r="H5" s="11">
        <f>'Desain &amp; Pemrograman Web'!L7</f>
        <v/>
      </c>
      <c r="I5" s="4">
        <f>'Desain &amp; Pemrograman Web'!M7</f>
        <v/>
      </c>
      <c r="J5" s="11">
        <f>'Basis Data Lanjut'!L7</f>
        <v/>
      </c>
      <c r="K5" s="4">
        <f>'Basis Data Lanjut'!M7</f>
        <v/>
      </c>
      <c r="L5" s="11">
        <f>'Sistem Informasi Manajemen'!L7</f>
        <v/>
      </c>
      <c r="M5" s="4">
        <f>'Sistem Informasi Manajemen'!M7</f>
        <v/>
      </c>
      <c r="N5" s="11">
        <f>IFERROR(AVERAGE(F5,H5,J5,L5),"")</f>
        <v/>
      </c>
      <c r="O5" s="17" t="inlineStr">
        <is>
          <t>Buka tautan Drive</t>
        </is>
      </c>
    </row>
    <row r="6">
      <c r="A6" s="9" t="n">
        <v>2</v>
      </c>
      <c r="B6" s="14" t="inlineStr">
        <is>
          <t>Hebat Dan Dahsyat</t>
        </is>
      </c>
      <c r="C6" s="14" t="inlineStr">
        <is>
          <t>Erhan Hendragian Permana</t>
        </is>
      </c>
      <c r="D6" s="4">
        <f>'Manajemen Proyek'!D8</f>
        <v/>
      </c>
      <c r="E6" s="4" t="inlineStr">
        <is>
          <t>DoTo</t>
        </is>
      </c>
      <c r="F6" s="11">
        <f>'Manajemen Proyek'!L8</f>
        <v/>
      </c>
      <c r="G6" s="4">
        <f>'Manajemen Proyek'!M8</f>
        <v/>
      </c>
      <c r="H6" s="11">
        <f>'Desain &amp; Pemrograman Web'!L8</f>
        <v/>
      </c>
      <c r="I6" s="4">
        <f>'Desain &amp; Pemrograman Web'!M8</f>
        <v/>
      </c>
      <c r="J6" s="11">
        <f>'Basis Data Lanjut'!L8</f>
        <v/>
      </c>
      <c r="K6" s="4">
        <f>'Basis Data Lanjut'!M8</f>
        <v/>
      </c>
      <c r="L6" s="11">
        <f>'Sistem Informasi Manajemen'!L8</f>
        <v/>
      </c>
      <c r="M6" s="4">
        <f>'Sistem Informasi Manajemen'!M8</f>
        <v/>
      </c>
      <c r="N6" s="11">
        <f>IFERROR(AVERAGE(F6,H6,J6,L6),"")</f>
        <v/>
      </c>
      <c r="O6" s="17" t="inlineStr">
        <is>
          <t>Buka tautan Drive</t>
        </is>
      </c>
    </row>
    <row r="7">
      <c r="A7" s="9" t="n">
        <v>3</v>
      </c>
      <c r="B7" s="14" t="inlineStr">
        <is>
          <t>SIPREI</t>
        </is>
      </c>
      <c r="C7" s="14" t="inlineStr">
        <is>
          <t>Raysha Aida Azalia</t>
        </is>
      </c>
      <c r="D7" s="4">
        <f>'Manajemen Proyek'!D9</f>
        <v/>
      </c>
      <c r="E7" s="4" t="inlineStr">
        <is>
          <t>SIPREI: Sistem Informasi Pemesanan dan Pengendalian Persediaan Barang pada Toko Sprei</t>
        </is>
      </c>
      <c r="F7" s="11">
        <f>'Manajemen Proyek'!L9</f>
        <v/>
      </c>
      <c r="G7" s="4">
        <f>'Manajemen Proyek'!M9</f>
        <v/>
      </c>
      <c r="H7" s="11">
        <f>'Desain &amp; Pemrograman Web'!L9</f>
        <v/>
      </c>
      <c r="I7" s="4">
        <f>'Desain &amp; Pemrograman Web'!M9</f>
        <v/>
      </c>
      <c r="J7" s="11">
        <f>'Basis Data Lanjut'!L9</f>
        <v/>
      </c>
      <c r="K7" s="4">
        <f>'Basis Data Lanjut'!M9</f>
        <v/>
      </c>
      <c r="L7" s="11">
        <f>'Sistem Informasi Manajemen'!L9</f>
        <v/>
      </c>
      <c r="M7" s="4">
        <f>'Sistem Informasi Manajemen'!M9</f>
        <v/>
      </c>
      <c r="N7" s="11">
        <f>IFERROR(AVERAGE(F7,H7,J7,L7),"")</f>
        <v/>
      </c>
      <c r="O7" s="17" t="inlineStr">
        <is>
          <t>Buka tautan Drive</t>
        </is>
      </c>
    </row>
    <row r="8">
      <c r="A8" s="9" t="n">
        <v>4</v>
      </c>
      <c r="B8" s="14" t="inlineStr">
        <is>
          <t>Kelompok 5</t>
        </is>
      </c>
      <c r="C8" s="14" t="inlineStr">
        <is>
          <t>Ayu Wardatul Widad</t>
        </is>
      </c>
      <c r="D8" s="4">
        <f>'Manajemen Proyek'!D10</f>
        <v/>
      </c>
      <c r="E8" s="4" t="inlineStr">
        <is>
          <t>Sistem Manajemen Studio Kreatif (SIMASIF)</t>
        </is>
      </c>
      <c r="F8" s="11">
        <f>'Manajemen Proyek'!L10</f>
        <v/>
      </c>
      <c r="G8" s="4">
        <f>'Manajemen Proyek'!M10</f>
        <v/>
      </c>
      <c r="H8" s="11">
        <f>'Desain &amp; Pemrograman Web'!L10</f>
        <v/>
      </c>
      <c r="I8" s="4">
        <f>'Desain &amp; Pemrograman Web'!M10</f>
        <v/>
      </c>
      <c r="J8" s="11">
        <f>'Basis Data Lanjut'!L10</f>
        <v/>
      </c>
      <c r="K8" s="4">
        <f>'Basis Data Lanjut'!M10</f>
        <v/>
      </c>
      <c r="L8" s="11">
        <f>'Sistem Informasi Manajemen'!L10</f>
        <v/>
      </c>
      <c r="M8" s="4">
        <f>'Sistem Informasi Manajemen'!M10</f>
        <v/>
      </c>
      <c r="N8" s="11">
        <f>IFERROR(AVERAGE(F8,H8,J8,L8),"")</f>
        <v/>
      </c>
      <c r="O8" s="17" t="inlineStr">
        <is>
          <t>Buka tautan Drive</t>
        </is>
      </c>
    </row>
    <row r="9">
      <c r="A9" s="9" t="n">
        <v>5</v>
      </c>
      <c r="B9" s="14" t="inlineStr">
        <is>
          <t>BOSS SYNDICATE</t>
        </is>
      </c>
      <c r="C9" s="14" t="inlineStr">
        <is>
          <t>Wildan Dwi Triatna Kusuma</t>
        </is>
      </c>
      <c r="D9" s="4">
        <f>'Manajemen Proyek'!D11</f>
        <v/>
      </c>
      <c r="E9" s="4" t="inlineStr">
        <is>
          <t>RISMA (Inventaris Smart)</t>
        </is>
      </c>
      <c r="F9" s="11">
        <f>'Manajemen Proyek'!L11</f>
        <v/>
      </c>
      <c r="G9" s="4">
        <f>'Manajemen Proyek'!M11</f>
        <v/>
      </c>
      <c r="H9" s="11">
        <f>'Desain &amp; Pemrograman Web'!L11</f>
        <v/>
      </c>
      <c r="I9" s="4">
        <f>'Desain &amp; Pemrograman Web'!M11</f>
        <v/>
      </c>
      <c r="J9" s="11">
        <f>'Basis Data Lanjut'!L11</f>
        <v/>
      </c>
      <c r="K9" s="4">
        <f>'Basis Data Lanjut'!M11</f>
        <v/>
      </c>
      <c r="L9" s="11">
        <f>'Sistem Informasi Manajemen'!L11</f>
        <v/>
      </c>
      <c r="M9" s="4">
        <f>'Sistem Informasi Manajemen'!M11</f>
        <v/>
      </c>
      <c r="N9" s="11">
        <f>IFERROR(AVERAGE(F9,H9,J9,L9),"")</f>
        <v/>
      </c>
      <c r="O9" s="17" t="inlineStr">
        <is>
          <t>Buka tautan Drive</t>
        </is>
      </c>
    </row>
  </sheetData>
  <mergeCells count="2">
    <mergeCell ref="A1:O1"/>
    <mergeCell ref="A2:O2"/>
  </mergeCell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2026-09-20T10:41:59Z</dcterms:created>
  <dcterms:modified xsi:type="dcterms:W3CDTF">2026-09-20T10:41:59Z</dcterms:modified>
</cp:coreProperties>
</file>