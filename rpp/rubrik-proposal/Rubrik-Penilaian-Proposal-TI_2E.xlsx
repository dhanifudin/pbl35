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Manajemen Proyek" sheetId="3" state="visible" r:id="rId3"/>
    <sheet name="Desain &amp; Pemrograman Web" sheetId="4" state="visible" r:id="rId4"/>
    <sheet name="Basis Data Lanjut" sheetId="5" state="visible" r:id="rId5"/>
    <sheet name="Sistem Informasi Manajemen" sheetId="6" state="visible" r:id="rId6"/>
    <sheet name="Rekap"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ioRFDRNVxVPHOqJnuSRBD1mrdtEDJbtK" TargetMode="External" Id="rId1" /><Relationship Type="http://schemas.openxmlformats.org/officeDocument/2006/relationships/hyperlink" Target="https://drive.google.com/open?id=1gWjuCGcsEsHSx74H97cIBjr2zdJKCY3-" TargetMode="External" Id="rId2" /><Relationship Type="http://schemas.openxmlformats.org/officeDocument/2006/relationships/hyperlink" Target="https://drive.google.com/open?id=11dgGlvmjmwZiPcUu_Cm8hVay4K2XFKZA" TargetMode="External" Id="rId3" /><Relationship Type="http://schemas.openxmlformats.org/officeDocument/2006/relationships/hyperlink" Target="https://drive.google.com/open?id=10ylNBiJxfoRssP8LyFJj4G6MTGZ0bzJb" TargetMode="External" Id="rId4" /><Relationship Type="http://schemas.openxmlformats.org/officeDocument/2006/relationships/hyperlink" Target="https://drive.google.com/open?id=1mIEKGK6CQTFqHWjlfvmWlVkoU5PvU5yQ" TargetMode="External" Id="rId5" /><Relationship Type="http://schemas.openxmlformats.org/officeDocument/2006/relationships/hyperlink" Target="https://drive.google.com/open?id=1akqMpSaDjW-fytA2K25bagE8_FVFJofC" TargetMode="External" Id="rId6" /></Relationships>
</file>

<file path=xl/worksheets/_rels/sheet4.xml.rels><Relationships xmlns="http://schemas.openxmlformats.org/package/2006/relationships"><Relationship Type="http://schemas.openxmlformats.org/officeDocument/2006/relationships/hyperlink" Target="https://drive.google.com/open?id=1ioRFDRNVxVPHOqJnuSRBD1mrdtEDJbtK" TargetMode="External" Id="rId1" /><Relationship Type="http://schemas.openxmlformats.org/officeDocument/2006/relationships/hyperlink" Target="https://drive.google.com/open?id=1gWjuCGcsEsHSx74H97cIBjr2zdJKCY3-" TargetMode="External" Id="rId2" /><Relationship Type="http://schemas.openxmlformats.org/officeDocument/2006/relationships/hyperlink" Target="https://drive.google.com/open?id=11dgGlvmjmwZiPcUu_Cm8hVay4K2XFKZA" TargetMode="External" Id="rId3" /><Relationship Type="http://schemas.openxmlformats.org/officeDocument/2006/relationships/hyperlink" Target="https://drive.google.com/open?id=10ylNBiJxfoRssP8LyFJj4G6MTGZ0bzJb" TargetMode="External" Id="rId4" /><Relationship Type="http://schemas.openxmlformats.org/officeDocument/2006/relationships/hyperlink" Target="https://drive.google.com/open?id=1mIEKGK6CQTFqHWjlfvmWlVkoU5PvU5yQ" TargetMode="External" Id="rId5" /><Relationship Type="http://schemas.openxmlformats.org/officeDocument/2006/relationships/hyperlink" Target="https://drive.google.com/open?id=1akqMpSaDjW-fytA2K25bagE8_FVFJofC" TargetMode="External" Id="rId6" /></Relationships>
</file>

<file path=xl/worksheets/_rels/sheet5.xml.rels><Relationships xmlns="http://schemas.openxmlformats.org/package/2006/relationships"><Relationship Type="http://schemas.openxmlformats.org/officeDocument/2006/relationships/hyperlink" Target="https://drive.google.com/open?id=1ioRFDRNVxVPHOqJnuSRBD1mrdtEDJbtK" TargetMode="External" Id="rId1" /><Relationship Type="http://schemas.openxmlformats.org/officeDocument/2006/relationships/hyperlink" Target="https://drive.google.com/open?id=1gWjuCGcsEsHSx74H97cIBjr2zdJKCY3-" TargetMode="External" Id="rId2" /><Relationship Type="http://schemas.openxmlformats.org/officeDocument/2006/relationships/hyperlink" Target="https://drive.google.com/open?id=11dgGlvmjmwZiPcUu_Cm8hVay4K2XFKZA" TargetMode="External" Id="rId3" /><Relationship Type="http://schemas.openxmlformats.org/officeDocument/2006/relationships/hyperlink" Target="https://drive.google.com/open?id=10ylNBiJxfoRssP8LyFJj4G6MTGZ0bzJb" TargetMode="External" Id="rId4" /><Relationship Type="http://schemas.openxmlformats.org/officeDocument/2006/relationships/hyperlink" Target="https://drive.google.com/open?id=1mIEKGK6CQTFqHWjlfvmWlVkoU5PvU5yQ" TargetMode="External" Id="rId5" /><Relationship Type="http://schemas.openxmlformats.org/officeDocument/2006/relationships/hyperlink" Target="https://drive.google.com/open?id=1akqMpSaDjW-fytA2K25bagE8_FVFJofC" TargetMode="External" Id="rId6" /></Relationships>
</file>

<file path=xl/worksheets/_rels/sheet6.xml.rels><Relationships xmlns="http://schemas.openxmlformats.org/package/2006/relationships"><Relationship Type="http://schemas.openxmlformats.org/officeDocument/2006/relationships/hyperlink" Target="https://drive.google.com/open?id=1ioRFDRNVxVPHOqJnuSRBD1mrdtEDJbtK" TargetMode="External" Id="rId1" /><Relationship Type="http://schemas.openxmlformats.org/officeDocument/2006/relationships/hyperlink" Target="https://drive.google.com/open?id=1gWjuCGcsEsHSx74H97cIBjr2zdJKCY3-" TargetMode="External" Id="rId2" /><Relationship Type="http://schemas.openxmlformats.org/officeDocument/2006/relationships/hyperlink" Target="https://drive.google.com/open?id=11dgGlvmjmwZiPcUu_Cm8hVay4K2XFKZA" TargetMode="External" Id="rId3" /><Relationship Type="http://schemas.openxmlformats.org/officeDocument/2006/relationships/hyperlink" Target="https://drive.google.com/open?id=10ylNBiJxfoRssP8LyFJj4G6MTGZ0bzJb" TargetMode="External" Id="rId4" /><Relationship Type="http://schemas.openxmlformats.org/officeDocument/2006/relationships/hyperlink" Target="https://drive.google.com/open?id=1mIEKGK6CQTFqHWjlfvmWlVkoU5PvU5yQ" TargetMode="External" Id="rId5" /><Relationship Type="http://schemas.openxmlformats.org/officeDocument/2006/relationships/hyperlink" Target="https://drive.google.com/open?id=1akqMpSaDjW-fytA2K25bagE8_FVFJofC" TargetMode="External" Id="rId6" /></Relationships>
</file>

<file path=xl/worksheets/_rels/sheet7.xml.rels><Relationships xmlns="http://schemas.openxmlformats.org/package/2006/relationships"><Relationship Type="http://schemas.openxmlformats.org/officeDocument/2006/relationships/hyperlink" Target="https://drive.google.com/open?id=1ioRFDRNVxVPHOqJnuSRBD1mrdtEDJbtK" TargetMode="External" Id="rId1" /><Relationship Type="http://schemas.openxmlformats.org/officeDocument/2006/relationships/hyperlink" Target="https://drive.google.com/open?id=1gWjuCGcsEsHSx74H97cIBjr2zdJKCY3-" TargetMode="External" Id="rId2" /><Relationship Type="http://schemas.openxmlformats.org/officeDocument/2006/relationships/hyperlink" Target="https://drive.google.com/open?id=11dgGlvmjmwZiPcUu_Cm8hVay4K2XFKZA" TargetMode="External" Id="rId3" /><Relationship Type="http://schemas.openxmlformats.org/officeDocument/2006/relationships/hyperlink" Target="https://drive.google.com/open?id=10ylNBiJxfoRssP8LyFJj4G6MTGZ0bzJb" TargetMode="External" Id="rId4" /><Relationship Type="http://schemas.openxmlformats.org/officeDocument/2006/relationships/hyperlink" Target="https://drive.google.com/open?id=1mIEKGK6CQTFqHWjlfvmWlVkoU5PvU5yQ" TargetMode="External" Id="rId5" /><Relationship Type="http://schemas.openxmlformats.org/officeDocument/2006/relationships/hyperlink" Target="https://drive.google.com/open?id=1akqMpSaDjW-fytA2K25bagE8_FVFJofC" TargetMode="External" Id="rId6"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TI_2E</t>
        </is>
      </c>
    </row>
    <row r="2" ht="20" customHeight="1">
      <c r="A2" s="2" t="inlineStr">
        <is>
          <t>Semester 3 -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TI_2E diampu oleh 4 mata kuliah terintegrasi PBL: Manajemen Proyek, Desain &amp; Pemrograman Web, Basis Data Lanjut, Sistem Informasi Manajemen.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Manajemen Proyek</t>
        </is>
      </c>
      <c r="B1" s="7" t="n"/>
      <c r="C1" s="7" t="n"/>
      <c r="D1" s="7" t="n"/>
      <c r="E1" s="7" t="n"/>
      <c r="F1" s="7" t="n"/>
      <c r="G1" s="7" t="n"/>
      <c r="H1" s="7" t="n"/>
      <c r="I1" s="7" t="n"/>
      <c r="J1" s="7" t="n"/>
      <c r="K1" s="7" t="n"/>
      <c r="L1" s="7" t="n"/>
      <c r="M1" s="7" t="n"/>
      <c r="N1" s="7" t="n"/>
    </row>
    <row r="2" ht="18" customHeight="1">
      <c r="A2" s="2" t="inlineStr">
        <is>
          <t>Kelas TI_2E - Dosen Pengampu: Ahmadi Yuli Ananta, ST., M.M.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Toko A1</t>
        </is>
      </c>
      <c r="C7" s="14" t="inlineStr">
        <is>
          <t>Raja Moreno</t>
        </is>
      </c>
      <c r="D7" s="15" t="inlineStr">
        <is>
          <t>Raja Moreno (254107020240)
Ahmad Zaky (254107020183)
Tegar Putra P (254107020213)
Satria Rizky (254107020128)</t>
        </is>
      </c>
      <c r="E7" s="4" t="inlineStr">
        <is>
          <t>Sistem informasi manajemen investasi (Toko sembako A1)</t>
        </is>
      </c>
      <c r="F7" s="16" t="n"/>
      <c r="G7" s="16" t="n"/>
      <c r="H7" s="16" t="n"/>
      <c r="I7" s="16" t="n"/>
      <c r="J7" s="16" t="n"/>
      <c r="K7" s="16" t="n"/>
      <c r="L7" s="11">
        <f>IF(COUNT(F7:K7)&lt;6,"",SUMPRODUCT(F7:K7,$F$6:$K$6)/SUM($F$6:$K$6)/5*100)</f>
        <v/>
      </c>
      <c r="M7" s="15" t="n"/>
      <c r="N7" s="17" t="inlineStr">
        <is>
          <t>Buka tautan Drive</t>
        </is>
      </c>
    </row>
    <row r="8">
      <c r="A8" s="9" t="n">
        <v>2</v>
      </c>
      <c r="B8" s="14" t="inlineStr">
        <is>
          <t>Kelompok 4</t>
        </is>
      </c>
      <c r="C8" s="14" t="inlineStr">
        <is>
          <t>Ilham Danuarta Atmaja</t>
        </is>
      </c>
      <c r="D8" s="15" t="inlineStr">
        <is>
          <t>Arjun Zain Regeng Pengestu (254107020144)
Ilham Danuarta Atmaja (254107020218)
Haidhar Annabigh Imadilfalah (254107020103)
Elyza Putri Rahayu (254107020035)</t>
        </is>
      </c>
      <c r="E8" s="4" t="inlineStr">
        <is>
          <t>SIMKOS</t>
        </is>
      </c>
      <c r="F8" s="16" t="n"/>
      <c r="G8" s="16" t="n"/>
      <c r="H8" s="16" t="n"/>
      <c r="I8" s="16" t="n"/>
      <c r="J8" s="16" t="n"/>
      <c r="K8" s="16" t="n"/>
      <c r="L8" s="11">
        <f>IF(COUNT(F8:K8)&lt;6,"",SUMPRODUCT(F8:K8,$F$6:$K$6)/SUM($F$6:$K$6)/5*100)</f>
        <v/>
      </c>
      <c r="M8" s="15" t="n"/>
      <c r="N8" s="17" t="inlineStr">
        <is>
          <t>Buka tautan Drive</t>
        </is>
      </c>
    </row>
    <row r="9">
      <c r="A9" s="9" t="n">
        <v>3</v>
      </c>
      <c r="B9" s="14" t="inlineStr">
        <is>
          <t>SpinLabs kelompok 5</t>
        </is>
      </c>
      <c r="C9" s="14" t="inlineStr">
        <is>
          <t>Andrey Shevchenkho Eka Saputra</t>
        </is>
      </c>
      <c r="D9" s="15" t="inlineStr">
        <is>
          <t>Ketua: Andrey Shevchenkho Eka Saputra</t>
        </is>
      </c>
      <c r="E9" s="4" t="inlineStr">
        <is>
          <t>Sistem Informasi Manajemen Operasional Kino Coin Laundry</t>
        </is>
      </c>
      <c r="F9" s="16" t="n"/>
      <c r="G9" s="16" t="n"/>
      <c r="H9" s="16" t="n"/>
      <c r="I9" s="16" t="n"/>
      <c r="J9" s="16" t="n"/>
      <c r="K9" s="16" t="n"/>
      <c r="L9" s="11">
        <f>IF(COUNT(F9:K9)&lt;6,"",SUMPRODUCT(F9:K9,$F$6:$K$6)/SUM($F$6:$K$6)/5*100)</f>
        <v/>
      </c>
      <c r="M9" s="15" t="n"/>
      <c r="N9" s="17" t="inlineStr">
        <is>
          <t>Buka tautan Drive</t>
        </is>
      </c>
    </row>
    <row r="10">
      <c r="A10" s="9" t="n">
        <v>4</v>
      </c>
      <c r="B10" s="14" t="inlineStr">
        <is>
          <t>Season Ini Immo</t>
        </is>
      </c>
      <c r="C10" s="14" t="inlineStr">
        <is>
          <t>Naufal Shofil Fuadi</t>
        </is>
      </c>
      <c r="D10" s="15" t="inlineStr">
        <is>
          <t>Carlos Fadellilah Rama (254107020064)
Deswita Khansa Rafifah (254107020151)
Ken Dhiyaa Prawira (254107020088)
Naufal Shofil Fuadi (254107020208)
Syahroni Nur’an Syafi’i (254107020234)</t>
        </is>
      </c>
      <c r="E10" s="4" t="inlineStr">
        <is>
          <t>Sistem Informasi Manajemen Pre-Order dan Antrean Produksi Berbasis Web pada UMKM Se.Noesa.</t>
        </is>
      </c>
      <c r="F10" s="16" t="n"/>
      <c r="G10" s="16" t="n"/>
      <c r="H10" s="16" t="n"/>
      <c r="I10" s="16" t="n"/>
      <c r="J10" s="16" t="n"/>
      <c r="K10" s="16" t="n"/>
      <c r="L10" s="11">
        <f>IF(COUNT(F10:K10)&lt;6,"",SUMPRODUCT(F10:K10,$F$6:$K$6)/SUM($F$6:$K$6)/5*100)</f>
        <v/>
      </c>
      <c r="M10" s="15" t="n"/>
      <c r="N10" s="17" t="inlineStr">
        <is>
          <t>Buka tautan Drive</t>
        </is>
      </c>
    </row>
    <row r="11">
      <c r="A11" s="9" t="n">
        <v>5</v>
      </c>
      <c r="B11" s="14" t="inlineStr">
        <is>
          <t>Tim 3</t>
        </is>
      </c>
      <c r="C11" s="14" t="inlineStr">
        <is>
          <t>Naufal Valentino Wijaya</t>
        </is>
      </c>
      <c r="D11" s="15" t="inlineStr">
        <is>
          <t>Abrar Rayhan Muhammad (254107020217)
Azzahra Aulia Rahman (254107020227)
Naufal Valentin Wijaya (254107020057)
Surya Sadikin Firdaus (254107020105)</t>
        </is>
      </c>
      <c r="E11" s="4" t="inlineStr">
        <is>
          <t>Sistem Informasi Manajemen KickDropShoe</t>
        </is>
      </c>
      <c r="F11" s="16" t="n"/>
      <c r="G11" s="16" t="n"/>
      <c r="H11" s="16" t="n"/>
      <c r="I11" s="16" t="n"/>
      <c r="J11" s="16" t="n"/>
      <c r="K11" s="16" t="n"/>
      <c r="L11" s="11">
        <f>IF(COUNT(F11:K11)&lt;6,"",SUMPRODUCT(F11:K11,$F$6:$K$6)/SUM($F$6:$K$6)/5*100)</f>
        <v/>
      </c>
      <c r="M11" s="15" t="n"/>
      <c r="N11" s="17" t="inlineStr">
        <is>
          <t>Buka tautan Drive</t>
        </is>
      </c>
    </row>
    <row r="12">
      <c r="A12" s="9" t="n">
        <v>6</v>
      </c>
      <c r="B12" s="14" t="inlineStr">
        <is>
          <t>SAYAAKANLAWAN</t>
        </is>
      </c>
      <c r="C12" s="14" t="inlineStr">
        <is>
          <t>Rafi Priya Nugraha</t>
        </is>
      </c>
      <c r="D12" s="15" t="inlineStr">
        <is>
          <t>Ketua: Rafi Priya Nugraha</t>
        </is>
      </c>
      <c r="E12" s="4" t="inlineStr">
        <is>
          <t>SISTEM MONITORING ABSENSI PEGAWAI RICHEESE FACTORY</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Desain &amp; Pemrograman Web</t>
        </is>
      </c>
      <c r="B1" s="7" t="n"/>
      <c r="C1" s="7" t="n"/>
      <c r="D1" s="7" t="n"/>
      <c r="E1" s="7" t="n"/>
      <c r="F1" s="7" t="n"/>
      <c r="G1" s="7" t="n"/>
      <c r="H1" s="7" t="n"/>
      <c r="I1" s="7" t="n"/>
      <c r="J1" s="7" t="n"/>
      <c r="K1" s="7" t="n"/>
      <c r="L1" s="7" t="n"/>
      <c r="M1" s="7" t="n"/>
      <c r="N1" s="7" t="n"/>
    </row>
    <row r="2" ht="18" customHeight="1">
      <c r="A2" s="2" t="inlineStr">
        <is>
          <t>Kelas TI_2E - Dosen Pengampu: Muhammad Unggul Pamenang, S.St., M.T.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Toko A1</t>
        </is>
      </c>
      <c r="C7" s="14" t="inlineStr">
        <is>
          <t>Raja Moreno</t>
        </is>
      </c>
      <c r="D7" s="15" t="inlineStr">
        <is>
          <t>Raja Moreno (254107020240)
Ahmad Zaky (254107020183)
Tegar Putra P (254107020213)
Satria Rizky (254107020128)</t>
        </is>
      </c>
      <c r="E7" s="4" t="inlineStr">
        <is>
          <t>Sistem informasi manajemen investasi (Toko sembako A1)</t>
        </is>
      </c>
      <c r="F7" s="16" t="n"/>
      <c r="G7" s="16" t="n"/>
      <c r="H7" s="16" t="n"/>
      <c r="I7" s="16" t="n"/>
      <c r="J7" s="16" t="n"/>
      <c r="K7" s="16" t="n"/>
      <c r="L7" s="11">
        <f>IF(COUNT(F7:K7)&lt;6,"",SUMPRODUCT(F7:K7,$F$6:$K$6)/SUM($F$6:$K$6)/5*100)</f>
        <v/>
      </c>
      <c r="M7" s="15" t="n"/>
      <c r="N7" s="17" t="inlineStr">
        <is>
          <t>Buka tautan Drive</t>
        </is>
      </c>
    </row>
    <row r="8">
      <c r="A8" s="9" t="n">
        <v>2</v>
      </c>
      <c r="B8" s="14" t="inlineStr">
        <is>
          <t>Kelompok 4</t>
        </is>
      </c>
      <c r="C8" s="14" t="inlineStr">
        <is>
          <t>Ilham Danuarta Atmaja</t>
        </is>
      </c>
      <c r="D8" s="15" t="inlineStr">
        <is>
          <t>Arjun Zain Regeng Pengestu (254107020144)
Ilham Danuarta Atmaja (254107020218)
Haidhar Annabigh Imadilfalah (254107020103)
Elyza Putri Rahayu (254107020035)</t>
        </is>
      </c>
      <c r="E8" s="4" t="inlineStr">
        <is>
          <t>SIMKOS</t>
        </is>
      </c>
      <c r="F8" s="16" t="n"/>
      <c r="G8" s="16" t="n"/>
      <c r="H8" s="16" t="n"/>
      <c r="I8" s="16" t="n"/>
      <c r="J8" s="16" t="n"/>
      <c r="K8" s="16" t="n"/>
      <c r="L8" s="11">
        <f>IF(COUNT(F8:K8)&lt;6,"",SUMPRODUCT(F8:K8,$F$6:$K$6)/SUM($F$6:$K$6)/5*100)</f>
        <v/>
      </c>
      <c r="M8" s="15" t="n"/>
      <c r="N8" s="17" t="inlineStr">
        <is>
          <t>Buka tautan Drive</t>
        </is>
      </c>
    </row>
    <row r="9">
      <c r="A9" s="9" t="n">
        <v>3</v>
      </c>
      <c r="B9" s="14" t="inlineStr">
        <is>
          <t>SpinLabs kelompok 5</t>
        </is>
      </c>
      <c r="C9" s="14" t="inlineStr">
        <is>
          <t>Andrey Shevchenkho Eka Saputra</t>
        </is>
      </c>
      <c r="D9" s="15" t="inlineStr">
        <is>
          <t>Ketua: Andrey Shevchenkho Eka Saputra</t>
        </is>
      </c>
      <c r="E9" s="4" t="inlineStr">
        <is>
          <t>Sistem Informasi Manajemen Operasional Kino Coin Laundry</t>
        </is>
      </c>
      <c r="F9" s="16" t="n"/>
      <c r="G9" s="16" t="n"/>
      <c r="H9" s="16" t="n"/>
      <c r="I9" s="16" t="n"/>
      <c r="J9" s="16" t="n"/>
      <c r="K9" s="16" t="n"/>
      <c r="L9" s="11">
        <f>IF(COUNT(F9:K9)&lt;6,"",SUMPRODUCT(F9:K9,$F$6:$K$6)/SUM($F$6:$K$6)/5*100)</f>
        <v/>
      </c>
      <c r="M9" s="15" t="n"/>
      <c r="N9" s="17" t="inlineStr">
        <is>
          <t>Buka tautan Drive</t>
        </is>
      </c>
    </row>
    <row r="10">
      <c r="A10" s="9" t="n">
        <v>4</v>
      </c>
      <c r="B10" s="14" t="inlineStr">
        <is>
          <t>Season Ini Immo</t>
        </is>
      </c>
      <c r="C10" s="14" t="inlineStr">
        <is>
          <t>Naufal Shofil Fuadi</t>
        </is>
      </c>
      <c r="D10" s="15" t="inlineStr">
        <is>
          <t>Carlos Fadellilah Rama (254107020064)
Deswita Khansa Rafifah (254107020151)
Ken Dhiyaa Prawira (254107020088)
Naufal Shofil Fuadi (254107020208)
Syahroni Nur’an Syafi’i (254107020234)</t>
        </is>
      </c>
      <c r="E10" s="4" t="inlineStr">
        <is>
          <t>Sistem Informasi Manajemen Pre-Order dan Antrean Produksi Berbasis Web pada UMKM Se.Noesa.</t>
        </is>
      </c>
      <c r="F10" s="16" t="n"/>
      <c r="G10" s="16" t="n"/>
      <c r="H10" s="16" t="n"/>
      <c r="I10" s="16" t="n"/>
      <c r="J10" s="16" t="n"/>
      <c r="K10" s="16" t="n"/>
      <c r="L10" s="11">
        <f>IF(COUNT(F10:K10)&lt;6,"",SUMPRODUCT(F10:K10,$F$6:$K$6)/SUM($F$6:$K$6)/5*100)</f>
        <v/>
      </c>
      <c r="M10" s="15" t="n"/>
      <c r="N10" s="17" t="inlineStr">
        <is>
          <t>Buka tautan Drive</t>
        </is>
      </c>
    </row>
    <row r="11">
      <c r="A11" s="9" t="n">
        <v>5</v>
      </c>
      <c r="B11" s="14" t="inlineStr">
        <is>
          <t>Tim 3</t>
        </is>
      </c>
      <c r="C11" s="14" t="inlineStr">
        <is>
          <t>Naufal Valentino Wijaya</t>
        </is>
      </c>
      <c r="D11" s="15" t="inlineStr">
        <is>
          <t>Abrar Rayhan Muhammad (254107020217)
Azzahra Aulia Rahman (254107020227)
Naufal Valentin Wijaya (254107020057)
Surya Sadikin Firdaus (254107020105)</t>
        </is>
      </c>
      <c r="E11" s="4" t="inlineStr">
        <is>
          <t>Sistem Informasi Manajemen KickDropShoe</t>
        </is>
      </c>
      <c r="F11" s="16" t="n"/>
      <c r="G11" s="16" t="n"/>
      <c r="H11" s="16" t="n"/>
      <c r="I11" s="16" t="n"/>
      <c r="J11" s="16" t="n"/>
      <c r="K11" s="16" t="n"/>
      <c r="L11" s="11">
        <f>IF(COUNT(F11:K11)&lt;6,"",SUMPRODUCT(F11:K11,$F$6:$K$6)/SUM($F$6:$K$6)/5*100)</f>
        <v/>
      </c>
      <c r="M11" s="15" t="n"/>
      <c r="N11" s="17" t="inlineStr">
        <is>
          <t>Buka tautan Drive</t>
        </is>
      </c>
    </row>
    <row r="12">
      <c r="A12" s="9" t="n">
        <v>6</v>
      </c>
      <c r="B12" s="14" t="inlineStr">
        <is>
          <t>SAYAAKANLAWAN</t>
        </is>
      </c>
      <c r="C12" s="14" t="inlineStr">
        <is>
          <t>Rafi Priya Nugraha</t>
        </is>
      </c>
      <c r="D12" s="15" t="inlineStr">
        <is>
          <t>Ketua: Rafi Priya Nugraha</t>
        </is>
      </c>
      <c r="E12" s="4" t="inlineStr">
        <is>
          <t>SISTEM MONITORING ABSENSI PEGAWAI RICHEESE FACTORY</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Basis Data Lanjut</t>
        </is>
      </c>
      <c r="B1" s="7" t="n"/>
      <c r="C1" s="7" t="n"/>
      <c r="D1" s="7" t="n"/>
      <c r="E1" s="7" t="n"/>
      <c r="F1" s="7" t="n"/>
      <c r="G1" s="7" t="n"/>
      <c r="H1" s="7" t="n"/>
      <c r="I1" s="7" t="n"/>
      <c r="J1" s="7" t="n"/>
      <c r="K1" s="7" t="n"/>
      <c r="L1" s="7" t="n"/>
      <c r="M1" s="7" t="n"/>
      <c r="N1" s="7" t="n"/>
    </row>
    <row r="2" ht="18" customHeight="1">
      <c r="A2" s="2" t="inlineStr">
        <is>
          <t>Kelas TI_2E - Dosen Pengampu: Dinny Wahyu Widarti, S.Kom., MMSI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Toko A1</t>
        </is>
      </c>
      <c r="C7" s="14" t="inlineStr">
        <is>
          <t>Raja Moreno</t>
        </is>
      </c>
      <c r="D7" s="15" t="inlineStr">
        <is>
          <t>Raja Moreno (254107020240)
Ahmad Zaky (254107020183)
Tegar Putra P (254107020213)
Satria Rizky (254107020128)</t>
        </is>
      </c>
      <c r="E7" s="4" t="inlineStr">
        <is>
          <t>Sistem informasi manajemen investasi (Toko sembako A1)</t>
        </is>
      </c>
      <c r="F7" s="16" t="n"/>
      <c r="G7" s="16" t="n"/>
      <c r="H7" s="16" t="n"/>
      <c r="I7" s="16" t="n"/>
      <c r="J7" s="16" t="n"/>
      <c r="K7" s="16" t="n"/>
      <c r="L7" s="11">
        <f>IF(COUNT(F7:K7)&lt;6,"",SUMPRODUCT(F7:K7,$F$6:$K$6)/SUM($F$6:$K$6)/5*100)</f>
        <v/>
      </c>
      <c r="M7" s="15" t="n"/>
      <c r="N7" s="17" t="inlineStr">
        <is>
          <t>Buka tautan Drive</t>
        </is>
      </c>
    </row>
    <row r="8">
      <c r="A8" s="9" t="n">
        <v>2</v>
      </c>
      <c r="B8" s="14" t="inlineStr">
        <is>
          <t>Kelompok 4</t>
        </is>
      </c>
      <c r="C8" s="14" t="inlineStr">
        <is>
          <t>Ilham Danuarta Atmaja</t>
        </is>
      </c>
      <c r="D8" s="15" t="inlineStr">
        <is>
          <t>Arjun Zain Regeng Pengestu (254107020144)
Ilham Danuarta Atmaja (254107020218)
Haidhar Annabigh Imadilfalah (254107020103)
Elyza Putri Rahayu (254107020035)</t>
        </is>
      </c>
      <c r="E8" s="4" t="inlineStr">
        <is>
          <t>SIMKOS</t>
        </is>
      </c>
      <c r="F8" s="16" t="n"/>
      <c r="G8" s="16" t="n"/>
      <c r="H8" s="16" t="n"/>
      <c r="I8" s="16" t="n"/>
      <c r="J8" s="16" t="n"/>
      <c r="K8" s="16" t="n"/>
      <c r="L8" s="11">
        <f>IF(COUNT(F8:K8)&lt;6,"",SUMPRODUCT(F8:K8,$F$6:$K$6)/SUM($F$6:$K$6)/5*100)</f>
        <v/>
      </c>
      <c r="M8" s="15" t="n"/>
      <c r="N8" s="17" t="inlineStr">
        <is>
          <t>Buka tautan Drive</t>
        </is>
      </c>
    </row>
    <row r="9">
      <c r="A9" s="9" t="n">
        <v>3</v>
      </c>
      <c r="B9" s="14" t="inlineStr">
        <is>
          <t>SpinLabs kelompok 5</t>
        </is>
      </c>
      <c r="C9" s="14" t="inlineStr">
        <is>
          <t>Andrey Shevchenkho Eka Saputra</t>
        </is>
      </c>
      <c r="D9" s="15" t="inlineStr">
        <is>
          <t>Ketua: Andrey Shevchenkho Eka Saputra</t>
        </is>
      </c>
      <c r="E9" s="4" t="inlineStr">
        <is>
          <t>Sistem Informasi Manajemen Operasional Kino Coin Laundry</t>
        </is>
      </c>
      <c r="F9" s="16" t="n"/>
      <c r="G9" s="16" t="n"/>
      <c r="H9" s="16" t="n"/>
      <c r="I9" s="16" t="n"/>
      <c r="J9" s="16" t="n"/>
      <c r="K9" s="16" t="n"/>
      <c r="L9" s="11">
        <f>IF(COUNT(F9:K9)&lt;6,"",SUMPRODUCT(F9:K9,$F$6:$K$6)/SUM($F$6:$K$6)/5*100)</f>
        <v/>
      </c>
      <c r="M9" s="15" t="n"/>
      <c r="N9" s="17" t="inlineStr">
        <is>
          <t>Buka tautan Drive</t>
        </is>
      </c>
    </row>
    <row r="10">
      <c r="A10" s="9" t="n">
        <v>4</v>
      </c>
      <c r="B10" s="14" t="inlineStr">
        <is>
          <t>Season Ini Immo</t>
        </is>
      </c>
      <c r="C10" s="14" t="inlineStr">
        <is>
          <t>Naufal Shofil Fuadi</t>
        </is>
      </c>
      <c r="D10" s="15" t="inlineStr">
        <is>
          <t>Carlos Fadellilah Rama (254107020064)
Deswita Khansa Rafifah (254107020151)
Ken Dhiyaa Prawira (254107020088)
Naufal Shofil Fuadi (254107020208)
Syahroni Nur’an Syafi’i (254107020234)</t>
        </is>
      </c>
      <c r="E10" s="4" t="inlineStr">
        <is>
          <t>Sistem Informasi Manajemen Pre-Order dan Antrean Produksi Berbasis Web pada UMKM Se.Noesa.</t>
        </is>
      </c>
      <c r="F10" s="16" t="n"/>
      <c r="G10" s="16" t="n"/>
      <c r="H10" s="16" t="n"/>
      <c r="I10" s="16" t="n"/>
      <c r="J10" s="16" t="n"/>
      <c r="K10" s="16" t="n"/>
      <c r="L10" s="11">
        <f>IF(COUNT(F10:K10)&lt;6,"",SUMPRODUCT(F10:K10,$F$6:$K$6)/SUM($F$6:$K$6)/5*100)</f>
        <v/>
      </c>
      <c r="M10" s="15" t="n"/>
      <c r="N10" s="17" t="inlineStr">
        <is>
          <t>Buka tautan Drive</t>
        </is>
      </c>
    </row>
    <row r="11">
      <c r="A11" s="9" t="n">
        <v>5</v>
      </c>
      <c r="B11" s="14" t="inlineStr">
        <is>
          <t>Tim 3</t>
        </is>
      </c>
      <c r="C11" s="14" t="inlineStr">
        <is>
          <t>Naufal Valentino Wijaya</t>
        </is>
      </c>
      <c r="D11" s="15" t="inlineStr">
        <is>
          <t>Abrar Rayhan Muhammad (254107020217)
Azzahra Aulia Rahman (254107020227)
Naufal Valentin Wijaya (254107020057)
Surya Sadikin Firdaus (254107020105)</t>
        </is>
      </c>
      <c r="E11" s="4" t="inlineStr">
        <is>
          <t>Sistem Informasi Manajemen KickDropShoe</t>
        </is>
      </c>
      <c r="F11" s="16" t="n"/>
      <c r="G11" s="16" t="n"/>
      <c r="H11" s="16" t="n"/>
      <c r="I11" s="16" t="n"/>
      <c r="J11" s="16" t="n"/>
      <c r="K11" s="16" t="n"/>
      <c r="L11" s="11">
        <f>IF(COUNT(F11:K11)&lt;6,"",SUMPRODUCT(F11:K11,$F$6:$K$6)/SUM($F$6:$K$6)/5*100)</f>
        <v/>
      </c>
      <c r="M11" s="15" t="n"/>
      <c r="N11" s="17" t="inlineStr">
        <is>
          <t>Buka tautan Drive</t>
        </is>
      </c>
    </row>
    <row r="12">
      <c r="A12" s="9" t="n">
        <v>6</v>
      </c>
      <c r="B12" s="14" t="inlineStr">
        <is>
          <t>SAYAAKANLAWAN</t>
        </is>
      </c>
      <c r="C12" s="14" t="inlineStr">
        <is>
          <t>Rafi Priya Nugraha</t>
        </is>
      </c>
      <c r="D12" s="15" t="inlineStr">
        <is>
          <t>Ketua: Rafi Priya Nugraha</t>
        </is>
      </c>
      <c r="E12" s="4" t="inlineStr">
        <is>
          <t>SISTEM MONITORING ABSENSI PEGAWAI RICHEESE FACTORY</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Sistem Informasi Manajemen</t>
        </is>
      </c>
      <c r="B1" s="7" t="n"/>
      <c r="C1" s="7" t="n"/>
      <c r="D1" s="7" t="n"/>
      <c r="E1" s="7" t="n"/>
      <c r="F1" s="7" t="n"/>
      <c r="G1" s="7" t="n"/>
      <c r="H1" s="7" t="n"/>
      <c r="I1" s="7" t="n"/>
      <c r="J1" s="7" t="n"/>
      <c r="K1" s="7" t="n"/>
      <c r="L1" s="7" t="n"/>
      <c r="M1" s="7" t="n"/>
      <c r="N1" s="7" t="n"/>
    </row>
    <row r="2" ht="18" customHeight="1">
      <c r="A2" s="2" t="inlineStr">
        <is>
          <t>Kelas TI_2E - Dosen Pengampu: Budi Harijanto, ST., M.MKom. - Semester 3</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Toko A1</t>
        </is>
      </c>
      <c r="C7" s="14" t="inlineStr">
        <is>
          <t>Raja Moreno</t>
        </is>
      </c>
      <c r="D7" s="15" t="inlineStr">
        <is>
          <t>Raja Moreno (254107020240)
Ahmad Zaky (254107020183)
Tegar Putra P (254107020213)
Satria Rizky (254107020128)</t>
        </is>
      </c>
      <c r="E7" s="4" t="inlineStr">
        <is>
          <t>Sistem informasi manajemen investasi (Toko sembako A1)</t>
        </is>
      </c>
      <c r="F7" s="16" t="n"/>
      <c r="G7" s="16" t="n"/>
      <c r="H7" s="16" t="n"/>
      <c r="I7" s="16" t="n"/>
      <c r="J7" s="16" t="n"/>
      <c r="K7" s="16" t="n"/>
      <c r="L7" s="11">
        <f>IF(COUNT(F7:K7)&lt;6,"",SUMPRODUCT(F7:K7,$F$6:$K$6)/SUM($F$6:$K$6)/5*100)</f>
        <v/>
      </c>
      <c r="M7" s="15" t="n"/>
      <c r="N7" s="17" t="inlineStr">
        <is>
          <t>Buka tautan Drive</t>
        </is>
      </c>
    </row>
    <row r="8">
      <c r="A8" s="9" t="n">
        <v>2</v>
      </c>
      <c r="B8" s="14" t="inlineStr">
        <is>
          <t>Kelompok 4</t>
        </is>
      </c>
      <c r="C8" s="14" t="inlineStr">
        <is>
          <t>Ilham Danuarta Atmaja</t>
        </is>
      </c>
      <c r="D8" s="15" t="inlineStr">
        <is>
          <t>Arjun Zain Regeng Pengestu (254107020144)
Ilham Danuarta Atmaja (254107020218)
Haidhar Annabigh Imadilfalah (254107020103)
Elyza Putri Rahayu (254107020035)</t>
        </is>
      </c>
      <c r="E8" s="4" t="inlineStr">
        <is>
          <t>SIMKOS</t>
        </is>
      </c>
      <c r="F8" s="16" t="n"/>
      <c r="G8" s="16" t="n"/>
      <c r="H8" s="16" t="n"/>
      <c r="I8" s="16" t="n"/>
      <c r="J8" s="16" t="n"/>
      <c r="K8" s="16" t="n"/>
      <c r="L8" s="11">
        <f>IF(COUNT(F8:K8)&lt;6,"",SUMPRODUCT(F8:K8,$F$6:$K$6)/SUM($F$6:$K$6)/5*100)</f>
        <v/>
      </c>
      <c r="M8" s="15" t="n"/>
      <c r="N8" s="17" t="inlineStr">
        <is>
          <t>Buka tautan Drive</t>
        </is>
      </c>
    </row>
    <row r="9">
      <c r="A9" s="9" t="n">
        <v>3</v>
      </c>
      <c r="B9" s="14" t="inlineStr">
        <is>
          <t>SpinLabs kelompok 5</t>
        </is>
      </c>
      <c r="C9" s="14" t="inlineStr">
        <is>
          <t>Andrey Shevchenkho Eka Saputra</t>
        </is>
      </c>
      <c r="D9" s="15" t="inlineStr">
        <is>
          <t>Ketua: Andrey Shevchenkho Eka Saputra</t>
        </is>
      </c>
      <c r="E9" s="4" t="inlineStr">
        <is>
          <t>Sistem Informasi Manajemen Operasional Kino Coin Laundry</t>
        </is>
      </c>
      <c r="F9" s="16" t="n"/>
      <c r="G9" s="16" t="n"/>
      <c r="H9" s="16" t="n"/>
      <c r="I9" s="16" t="n"/>
      <c r="J9" s="16" t="n"/>
      <c r="K9" s="16" t="n"/>
      <c r="L9" s="11">
        <f>IF(COUNT(F9:K9)&lt;6,"",SUMPRODUCT(F9:K9,$F$6:$K$6)/SUM($F$6:$K$6)/5*100)</f>
        <v/>
      </c>
      <c r="M9" s="15" t="n"/>
      <c r="N9" s="17" t="inlineStr">
        <is>
          <t>Buka tautan Drive</t>
        </is>
      </c>
    </row>
    <row r="10">
      <c r="A10" s="9" t="n">
        <v>4</v>
      </c>
      <c r="B10" s="14" t="inlineStr">
        <is>
          <t>Season Ini Immo</t>
        </is>
      </c>
      <c r="C10" s="14" t="inlineStr">
        <is>
          <t>Naufal Shofil Fuadi</t>
        </is>
      </c>
      <c r="D10" s="15" t="inlineStr">
        <is>
          <t>Carlos Fadellilah Rama (254107020064)
Deswita Khansa Rafifah (254107020151)
Ken Dhiyaa Prawira (254107020088)
Naufal Shofil Fuadi (254107020208)
Syahroni Nur’an Syafi’i (254107020234)</t>
        </is>
      </c>
      <c r="E10" s="4" t="inlineStr">
        <is>
          <t>Sistem Informasi Manajemen Pre-Order dan Antrean Produksi Berbasis Web pada UMKM Se.Noesa.</t>
        </is>
      </c>
      <c r="F10" s="16" t="n"/>
      <c r="G10" s="16" t="n"/>
      <c r="H10" s="16" t="n"/>
      <c r="I10" s="16" t="n"/>
      <c r="J10" s="16" t="n"/>
      <c r="K10" s="16" t="n"/>
      <c r="L10" s="11">
        <f>IF(COUNT(F10:K10)&lt;6,"",SUMPRODUCT(F10:K10,$F$6:$K$6)/SUM($F$6:$K$6)/5*100)</f>
        <v/>
      </c>
      <c r="M10" s="15" t="n"/>
      <c r="N10" s="17" t="inlineStr">
        <is>
          <t>Buka tautan Drive</t>
        </is>
      </c>
    </row>
    <row r="11">
      <c r="A11" s="9" t="n">
        <v>5</v>
      </c>
      <c r="B11" s="14" t="inlineStr">
        <is>
          <t>Tim 3</t>
        </is>
      </c>
      <c r="C11" s="14" t="inlineStr">
        <is>
          <t>Naufal Valentino Wijaya</t>
        </is>
      </c>
      <c r="D11" s="15" t="inlineStr">
        <is>
          <t>Abrar Rayhan Muhammad (254107020217)
Azzahra Aulia Rahman (254107020227)
Naufal Valentin Wijaya (254107020057)
Surya Sadikin Firdaus (254107020105)</t>
        </is>
      </c>
      <c r="E11" s="4" t="inlineStr">
        <is>
          <t>Sistem Informasi Manajemen KickDropShoe</t>
        </is>
      </c>
      <c r="F11" s="16" t="n"/>
      <c r="G11" s="16" t="n"/>
      <c r="H11" s="16" t="n"/>
      <c r="I11" s="16" t="n"/>
      <c r="J11" s="16" t="n"/>
      <c r="K11" s="16" t="n"/>
      <c r="L11" s="11">
        <f>IF(COUNT(F11:K11)&lt;6,"",SUMPRODUCT(F11:K11,$F$6:$K$6)/SUM($F$6:$K$6)/5*100)</f>
        <v/>
      </c>
      <c r="M11" s="15" t="n"/>
      <c r="N11" s="17" t="inlineStr">
        <is>
          <t>Buka tautan Drive</t>
        </is>
      </c>
    </row>
    <row r="12">
      <c r="A12" s="9" t="n">
        <v>6</v>
      </c>
      <c r="B12" s="14" t="inlineStr">
        <is>
          <t>SAYAAKANLAWAN</t>
        </is>
      </c>
      <c r="C12" s="14" t="inlineStr">
        <is>
          <t>Rafi Priya Nugraha</t>
        </is>
      </c>
      <c r="D12" s="15" t="inlineStr">
        <is>
          <t>Ketua: Rafi Priya Nugraha</t>
        </is>
      </c>
      <c r="E12" s="4" t="inlineStr">
        <is>
          <t>SISTEM MONITORING ABSENSI PEGAWAI RICHEESE FACTORY</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2" customWidth="1" min="12" max="12"/>
    <col width="26" customWidth="1" min="13" max="13"/>
    <col width="14" customWidth="1" min="14" max="14"/>
    <col width="24" customWidth="1" min="15" max="15"/>
  </cols>
  <sheetData>
    <row r="1" ht="26" customHeight="1">
      <c r="A1" s="1" t="inlineStr">
        <is>
          <t>Rekap Nilai Proposal - Kelas TI_2E (Semua Dosen)</t>
        </is>
      </c>
      <c r="B1" s="7" t="n"/>
      <c r="C1" s="7" t="n"/>
      <c r="D1" s="7" t="n"/>
      <c r="E1" s="7" t="n"/>
      <c r="F1" s="7" t="n"/>
      <c r="G1" s="7" t="n"/>
      <c r="H1" s="7" t="n"/>
      <c r="I1" s="7" t="n"/>
      <c r="J1" s="7" t="n"/>
      <c r="K1" s="7" t="n"/>
      <c r="L1" s="7" t="n"/>
      <c r="M1" s="7" t="n"/>
      <c r="N1" s="7" t="n"/>
      <c r="O1" s="7" t="n"/>
    </row>
    <row r="2" ht="18" customHeight="1">
      <c r="A2" s="2" t="inlineStr">
        <is>
          <t>Semester 3 - Checkpoint Proposal</t>
        </is>
      </c>
      <c r="B2" s="7" t="n"/>
      <c r="C2" s="7" t="n"/>
      <c r="D2" s="7" t="n"/>
      <c r="E2" s="7" t="n"/>
      <c r="F2" s="7" t="n"/>
      <c r="G2" s="7" t="n"/>
      <c r="H2" s="7" t="n"/>
      <c r="I2" s="7" t="n"/>
      <c r="J2" s="7" t="n"/>
      <c r="K2" s="7" t="n"/>
      <c r="L2" s="7" t="n"/>
      <c r="M2" s="7" t="n"/>
      <c r="N2" s="7" t="n"/>
      <c r="O2" s="7" t="n"/>
    </row>
    <row r="4" ht="42" customHeight="1">
      <c r="A4" s="8" t="inlineStr">
        <is>
          <t>No</t>
        </is>
      </c>
      <c r="B4" s="8" t="inlineStr">
        <is>
          <t>Nama Tim</t>
        </is>
      </c>
      <c r="C4" s="8" t="inlineStr">
        <is>
          <t>Nama Ketua Tim</t>
        </is>
      </c>
      <c r="D4" s="8" t="inlineStr">
        <is>
          <t>Anggota Tim</t>
        </is>
      </c>
      <c r="E4" s="8" t="inlineStr">
        <is>
          <t>Judul Produk</t>
        </is>
      </c>
      <c r="F4" s="8" t="inlineStr">
        <is>
          <t>Nilai - Manajemen Proyek</t>
        </is>
      </c>
      <c r="G4" s="8" t="inlineStr">
        <is>
          <t>Revisi - Manajemen Proyek</t>
        </is>
      </c>
      <c r="H4" s="8" t="inlineStr">
        <is>
          <t>Nilai - Desain &amp; Pemrograman Web</t>
        </is>
      </c>
      <c r="I4" s="8" t="inlineStr">
        <is>
          <t>Revisi - Desain &amp; Pemrograman Web</t>
        </is>
      </c>
      <c r="J4" s="8" t="inlineStr">
        <is>
          <t>Nilai - Basis Data Lanjut</t>
        </is>
      </c>
      <c r="K4" s="8" t="inlineStr">
        <is>
          <t>Revisi - Basis Data Lanjut</t>
        </is>
      </c>
      <c r="L4" s="8" t="inlineStr">
        <is>
          <t>Nilai - Sistem Informasi Manajemen</t>
        </is>
      </c>
      <c r="M4" s="8" t="inlineStr">
        <is>
          <t>Revisi - Sistem Informasi Manajemen</t>
        </is>
      </c>
      <c r="N4" s="8" t="inlineStr">
        <is>
          <t>Nilai Rata-rata</t>
        </is>
      </c>
      <c r="O4" s="8" t="inlineStr">
        <is>
          <t>Berkas Proposal</t>
        </is>
      </c>
    </row>
    <row r="5">
      <c r="A5" s="9" t="n">
        <v>1</v>
      </c>
      <c r="B5" s="14" t="inlineStr">
        <is>
          <t>Toko A1</t>
        </is>
      </c>
      <c r="C5" s="14" t="inlineStr">
        <is>
          <t>Raja Moreno</t>
        </is>
      </c>
      <c r="D5" s="4">
        <f>'Manajemen Proyek'!D7</f>
        <v/>
      </c>
      <c r="E5" s="4" t="inlineStr">
        <is>
          <t>Sistem informasi manajemen investasi (Toko sembako A1)</t>
        </is>
      </c>
      <c r="F5" s="11">
        <f>'Manajemen Proyek'!L7</f>
        <v/>
      </c>
      <c r="G5" s="4">
        <f>'Manajemen Proyek'!M7</f>
        <v/>
      </c>
      <c r="H5" s="11">
        <f>'Desain &amp; Pemrograman Web'!L7</f>
        <v/>
      </c>
      <c r="I5" s="4">
        <f>'Desain &amp; Pemrograman Web'!M7</f>
        <v/>
      </c>
      <c r="J5" s="11">
        <f>'Basis Data Lanjut'!L7</f>
        <v/>
      </c>
      <c r="K5" s="4">
        <f>'Basis Data Lanjut'!M7</f>
        <v/>
      </c>
      <c r="L5" s="11">
        <f>'Sistem Informasi Manajemen'!L7</f>
        <v/>
      </c>
      <c r="M5" s="4">
        <f>'Sistem Informasi Manajemen'!M7</f>
        <v/>
      </c>
      <c r="N5" s="11">
        <f>IFERROR(AVERAGE(F5,H5,J5,L5),"")</f>
        <v/>
      </c>
      <c r="O5" s="17" t="inlineStr">
        <is>
          <t>Buka tautan Drive</t>
        </is>
      </c>
    </row>
    <row r="6">
      <c r="A6" s="9" t="n">
        <v>2</v>
      </c>
      <c r="B6" s="14" t="inlineStr">
        <is>
          <t>Kelompok 4</t>
        </is>
      </c>
      <c r="C6" s="14" t="inlineStr">
        <is>
          <t>Ilham Danuarta Atmaja</t>
        </is>
      </c>
      <c r="D6" s="4">
        <f>'Manajemen Proyek'!D8</f>
        <v/>
      </c>
      <c r="E6" s="4" t="inlineStr">
        <is>
          <t>SIMKOS</t>
        </is>
      </c>
      <c r="F6" s="11">
        <f>'Manajemen Proyek'!L8</f>
        <v/>
      </c>
      <c r="G6" s="4">
        <f>'Manajemen Proyek'!M8</f>
        <v/>
      </c>
      <c r="H6" s="11">
        <f>'Desain &amp; Pemrograman Web'!L8</f>
        <v/>
      </c>
      <c r="I6" s="4">
        <f>'Desain &amp; Pemrograman Web'!M8</f>
        <v/>
      </c>
      <c r="J6" s="11">
        <f>'Basis Data Lanjut'!L8</f>
        <v/>
      </c>
      <c r="K6" s="4">
        <f>'Basis Data Lanjut'!M8</f>
        <v/>
      </c>
      <c r="L6" s="11">
        <f>'Sistem Informasi Manajemen'!L8</f>
        <v/>
      </c>
      <c r="M6" s="4">
        <f>'Sistem Informasi Manajemen'!M8</f>
        <v/>
      </c>
      <c r="N6" s="11">
        <f>IFERROR(AVERAGE(F6,H6,J6,L6),"")</f>
        <v/>
      </c>
      <c r="O6" s="17" t="inlineStr">
        <is>
          <t>Buka tautan Drive</t>
        </is>
      </c>
    </row>
    <row r="7">
      <c r="A7" s="9" t="n">
        <v>3</v>
      </c>
      <c r="B7" s="14" t="inlineStr">
        <is>
          <t>SpinLabs kelompok 5</t>
        </is>
      </c>
      <c r="C7" s="14" t="inlineStr">
        <is>
          <t>Andrey Shevchenkho Eka Saputra</t>
        </is>
      </c>
      <c r="D7" s="4">
        <f>'Manajemen Proyek'!D9</f>
        <v/>
      </c>
      <c r="E7" s="4" t="inlineStr">
        <is>
          <t>Sistem Informasi Manajemen Operasional Kino Coin Laundry</t>
        </is>
      </c>
      <c r="F7" s="11">
        <f>'Manajemen Proyek'!L9</f>
        <v/>
      </c>
      <c r="G7" s="4">
        <f>'Manajemen Proyek'!M9</f>
        <v/>
      </c>
      <c r="H7" s="11">
        <f>'Desain &amp; Pemrograman Web'!L9</f>
        <v/>
      </c>
      <c r="I7" s="4">
        <f>'Desain &amp; Pemrograman Web'!M9</f>
        <v/>
      </c>
      <c r="J7" s="11">
        <f>'Basis Data Lanjut'!L9</f>
        <v/>
      </c>
      <c r="K7" s="4">
        <f>'Basis Data Lanjut'!M9</f>
        <v/>
      </c>
      <c r="L7" s="11">
        <f>'Sistem Informasi Manajemen'!L9</f>
        <v/>
      </c>
      <c r="M7" s="4">
        <f>'Sistem Informasi Manajemen'!M9</f>
        <v/>
      </c>
      <c r="N7" s="11">
        <f>IFERROR(AVERAGE(F7,H7,J7,L7),"")</f>
        <v/>
      </c>
      <c r="O7" s="17" t="inlineStr">
        <is>
          <t>Buka tautan Drive</t>
        </is>
      </c>
    </row>
    <row r="8">
      <c r="A8" s="9" t="n">
        <v>4</v>
      </c>
      <c r="B8" s="14" t="inlineStr">
        <is>
          <t>Season Ini Immo</t>
        </is>
      </c>
      <c r="C8" s="14" t="inlineStr">
        <is>
          <t>Naufal Shofil Fuadi</t>
        </is>
      </c>
      <c r="D8" s="4">
        <f>'Manajemen Proyek'!D10</f>
        <v/>
      </c>
      <c r="E8" s="4" t="inlineStr">
        <is>
          <t>Sistem Informasi Manajemen Pre-Order dan Antrean Produksi Berbasis Web pada UMKM Se.Noesa.</t>
        </is>
      </c>
      <c r="F8" s="11">
        <f>'Manajemen Proyek'!L10</f>
        <v/>
      </c>
      <c r="G8" s="4">
        <f>'Manajemen Proyek'!M10</f>
        <v/>
      </c>
      <c r="H8" s="11">
        <f>'Desain &amp; Pemrograman Web'!L10</f>
        <v/>
      </c>
      <c r="I8" s="4">
        <f>'Desain &amp; Pemrograman Web'!M10</f>
        <v/>
      </c>
      <c r="J8" s="11">
        <f>'Basis Data Lanjut'!L10</f>
        <v/>
      </c>
      <c r="K8" s="4">
        <f>'Basis Data Lanjut'!M10</f>
        <v/>
      </c>
      <c r="L8" s="11">
        <f>'Sistem Informasi Manajemen'!L10</f>
        <v/>
      </c>
      <c r="M8" s="4">
        <f>'Sistem Informasi Manajemen'!M10</f>
        <v/>
      </c>
      <c r="N8" s="11">
        <f>IFERROR(AVERAGE(F8,H8,J8,L8),"")</f>
        <v/>
      </c>
      <c r="O8" s="17" t="inlineStr">
        <is>
          <t>Buka tautan Drive</t>
        </is>
      </c>
    </row>
    <row r="9">
      <c r="A9" s="9" t="n">
        <v>5</v>
      </c>
      <c r="B9" s="14" t="inlineStr">
        <is>
          <t>Tim 3</t>
        </is>
      </c>
      <c r="C9" s="14" t="inlineStr">
        <is>
          <t>Naufal Valentino Wijaya</t>
        </is>
      </c>
      <c r="D9" s="4">
        <f>'Manajemen Proyek'!D11</f>
        <v/>
      </c>
      <c r="E9" s="4" t="inlineStr">
        <is>
          <t>Sistem Informasi Manajemen KickDropShoe</t>
        </is>
      </c>
      <c r="F9" s="11">
        <f>'Manajemen Proyek'!L11</f>
        <v/>
      </c>
      <c r="G9" s="4">
        <f>'Manajemen Proyek'!M11</f>
        <v/>
      </c>
      <c r="H9" s="11">
        <f>'Desain &amp; Pemrograman Web'!L11</f>
        <v/>
      </c>
      <c r="I9" s="4">
        <f>'Desain &amp; Pemrograman Web'!M11</f>
        <v/>
      </c>
      <c r="J9" s="11">
        <f>'Basis Data Lanjut'!L11</f>
        <v/>
      </c>
      <c r="K9" s="4">
        <f>'Basis Data Lanjut'!M11</f>
        <v/>
      </c>
      <c r="L9" s="11">
        <f>'Sistem Informasi Manajemen'!L11</f>
        <v/>
      </c>
      <c r="M9" s="4">
        <f>'Sistem Informasi Manajemen'!M11</f>
        <v/>
      </c>
      <c r="N9" s="11">
        <f>IFERROR(AVERAGE(F9,H9,J9,L9),"")</f>
        <v/>
      </c>
      <c r="O9" s="17" t="inlineStr">
        <is>
          <t>Buka tautan Drive</t>
        </is>
      </c>
    </row>
    <row r="10">
      <c r="A10" s="9" t="n">
        <v>6</v>
      </c>
      <c r="B10" s="14" t="inlineStr">
        <is>
          <t>SAYAAKANLAWAN</t>
        </is>
      </c>
      <c r="C10" s="14" t="inlineStr">
        <is>
          <t>Rafi Priya Nugraha</t>
        </is>
      </c>
      <c r="D10" s="4">
        <f>'Manajemen Proyek'!D12</f>
        <v/>
      </c>
      <c r="E10" s="4" t="inlineStr">
        <is>
          <t>SISTEM MONITORING ABSENSI PEGAWAI RICHEESE FACTORY</t>
        </is>
      </c>
      <c r="F10" s="11">
        <f>'Manajemen Proyek'!L12</f>
        <v/>
      </c>
      <c r="G10" s="4">
        <f>'Manajemen Proyek'!M12</f>
        <v/>
      </c>
      <c r="H10" s="11">
        <f>'Desain &amp; Pemrograman Web'!L12</f>
        <v/>
      </c>
      <c r="I10" s="4">
        <f>'Desain &amp; Pemrograman Web'!M12</f>
        <v/>
      </c>
      <c r="J10" s="11">
        <f>'Basis Data Lanjut'!L12</f>
        <v/>
      </c>
      <c r="K10" s="4">
        <f>'Basis Data Lanjut'!M12</f>
        <v/>
      </c>
      <c r="L10" s="11">
        <f>'Sistem Informasi Manajemen'!L12</f>
        <v/>
      </c>
      <c r="M10" s="4">
        <f>'Sistem Informasi Manajemen'!M12</f>
        <v/>
      </c>
      <c r="N10" s="11">
        <f>IFERROR(AVERAGE(F10,H10,J10,L10),"")</f>
        <v/>
      </c>
      <c r="O10" s="17" t="inlineStr">
        <is>
          <t>Buka tautan Drive</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2026-09-20T10:41:59Z</dcterms:created>
  <dcterms:modified xsi:type="dcterms:W3CDTF">2026-09-20T10:41:59Z</dcterms:modified>
</cp:coreProperties>
</file>