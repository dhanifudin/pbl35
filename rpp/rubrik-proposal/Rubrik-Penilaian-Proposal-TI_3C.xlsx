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tunjuk" sheetId="1" state="visible" r:id="rId1"/>
    <sheet name="Rubrik" sheetId="2" state="visible" r:id="rId2"/>
    <sheet name="Pemrograman Mobile" sheetId="3" state="visible" r:id="rId3"/>
    <sheet name="Pembelajaran Mesin" sheetId="4" state="visible" r:id="rId4"/>
    <sheet name="Penjaminan Mutu Perangkat Lunak" sheetId="5" state="visible" r:id="rId5"/>
    <sheet name="Rekap" sheetId="6" state="visible" r:id="rId6"/>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color rgb="00E8F0FB"/>
      <sz val="11"/>
    </font>
    <font>
      <name val="Calibri"/>
      <b val="1"/>
      <color rgb="001A1A2E"/>
      <sz val="10"/>
    </font>
    <font>
      <name val="Calibri"/>
      <color rgb="001A1A2E"/>
      <sz val="10"/>
    </font>
    <font>
      <name val="Calibri"/>
      <b val="1"/>
      <color rgb="00FFFFFF"/>
      <sz val="10"/>
    </font>
    <font>
      <name val="Calibri"/>
      <b val="1"/>
      <color rgb="0000274F"/>
      <sz val="10"/>
    </font>
    <font>
      <name val="Calibri"/>
      <b val="1"/>
      <color rgb="00FFFFFF"/>
      <sz val="12"/>
    </font>
    <font>
      <name val="Calibri"/>
      <color rgb="001155CC"/>
      <sz val="10"/>
      <u val="single"/>
    </font>
  </fonts>
  <fills count="6">
    <fill>
      <patternFill/>
    </fill>
    <fill>
      <patternFill patternType="gray125"/>
    </fill>
    <fill>
      <patternFill patternType="solid">
        <fgColor rgb="00003B7A"/>
      </patternFill>
    </fill>
    <fill>
      <patternFill patternType="solid">
        <fgColor rgb="00FFF8E6"/>
      </patternFill>
    </fill>
    <fill>
      <patternFill patternType="solid">
        <fgColor rgb="00E8F0FB"/>
      </patternFill>
    </fill>
    <fill>
      <patternFill patternType="solid">
        <fgColor rgb="0000274F"/>
      </patternFill>
    </fill>
  </fills>
  <borders count="2">
    <border>
      <left/>
      <right/>
      <top/>
      <bottom/>
      <diagonal/>
    </border>
    <border>
      <left style="thin">
        <color rgb="00C5D4E8"/>
      </left>
      <right style="thin">
        <color rgb="00C5D4E8"/>
      </right>
      <top style="thin">
        <color rgb="00C5D4E8"/>
      </top>
      <bottom style="thin">
        <color rgb="00C5D4E8"/>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applyAlignment="1" pivotButton="0" quotePrefix="0" xfId="0">
      <alignment horizontal="left" vertical="center" wrapText="1"/>
    </xf>
    <xf numFmtId="0" fontId="4" fillId="0" borderId="1" applyAlignment="1" pivotButton="0" quotePrefix="0" xfId="0">
      <alignment horizontal="left" vertical="top" wrapText="1"/>
    </xf>
    <xf numFmtId="0" fontId="3" fillId="3" borderId="0" pivotButton="0" quotePrefix="0" xfId="0"/>
    <xf numFmtId="0" fontId="3" fillId="4" borderId="0" pivotButton="0" quotePrefix="0" xfId="0"/>
    <xf numFmtId="0" fontId="0" fillId="2" borderId="0"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3" fillId="0" borderId="0" pivotButton="0" quotePrefix="0" xfId="0"/>
    <xf numFmtId="0" fontId="6" fillId="4" borderId="1" applyAlignment="1" pivotButton="0" quotePrefix="0" xfId="0">
      <alignment horizontal="center" vertical="center" wrapText="1"/>
    </xf>
    <xf numFmtId="0" fontId="7" fillId="5" borderId="1" applyAlignment="1" pivotButton="0" quotePrefix="0" xfId="0">
      <alignment horizontal="left" vertical="center" wrapText="1"/>
    </xf>
    <xf numFmtId="0" fontId="0" fillId="5" borderId="1" pivotButton="0" quotePrefix="0" xfId="0"/>
    <xf numFmtId="0" fontId="4" fillId="0" borderId="1" applyAlignment="1" pivotButton="0" quotePrefix="0" xfId="0">
      <alignment horizontal="left" vertical="center" wrapText="1"/>
    </xf>
    <xf numFmtId="0" fontId="4" fillId="3" borderId="1" applyAlignment="1" pivotButton="0" quotePrefix="0" xfId="0">
      <alignment horizontal="left" vertical="top" wrapText="1"/>
    </xf>
    <xf numFmtId="0" fontId="4" fillId="3" borderId="1" applyAlignment="1" pivotButton="0" quotePrefix="0" xfId="0">
      <alignment horizontal="center" vertical="center" wrapText="1"/>
    </xf>
    <xf numFmtId="0" fontId="8" fillId="0" borderId="1" applyAlignment="1" pivotButton="0" quotePrefix="0" xfId="0">
      <alignment horizontal="center" vertical="center" wrapText="1"/>
    </xf>
  </cellXfs>
  <cellStyles count="1">
    <cellStyle name="Normal" xfId="0" builtinId="0" hidden="0"/>
  </cellStyles>
  <dxfs count="1">
    <dxf>
      <font>
        <b val="1"/>
        <color rgb="00B00020"/>
      </font>
      <fill>
        <patternFill patternType="solid">
          <fgColor rgb="00FDEA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drive.google.com/open?id=1GilKZQ_dR4-eKGVTnYyCDe8JJrblf3OT" TargetMode="External" Id="rId1" /><Relationship Type="http://schemas.openxmlformats.org/officeDocument/2006/relationships/hyperlink" Target="https://drive.google.com/open?id=1a3XDANK25TIXOe5zYhNy93bkSxs7g1f2" TargetMode="External" Id="rId2" /><Relationship Type="http://schemas.openxmlformats.org/officeDocument/2006/relationships/hyperlink" Target="https://drive.google.com/open?id=11Tl3Rwbs6RZg_FJKqD_ZAAGYFQHX4foF" TargetMode="External" Id="rId3" /><Relationship Type="http://schemas.openxmlformats.org/officeDocument/2006/relationships/hyperlink" Target="https://drive.google.com/open?id=1BoKquJoKkfvo3yBeByuFf14UVt46ILAc" TargetMode="External" Id="rId4" /><Relationship Type="http://schemas.openxmlformats.org/officeDocument/2006/relationships/hyperlink" Target="https://drive.google.com/open?id=1dWY5rHx-uDv5bFxy-hUFLswjZW-HSvk-" TargetMode="External" Id="rId5" /></Relationships>
</file>

<file path=xl/worksheets/_rels/sheet4.xml.rels><Relationships xmlns="http://schemas.openxmlformats.org/package/2006/relationships"><Relationship Type="http://schemas.openxmlformats.org/officeDocument/2006/relationships/hyperlink" Target="https://drive.google.com/open?id=1GilKZQ_dR4-eKGVTnYyCDe8JJrblf3OT" TargetMode="External" Id="rId1" /><Relationship Type="http://schemas.openxmlformats.org/officeDocument/2006/relationships/hyperlink" Target="https://drive.google.com/open?id=1a3XDANK25TIXOe5zYhNy93bkSxs7g1f2" TargetMode="External" Id="rId2" /><Relationship Type="http://schemas.openxmlformats.org/officeDocument/2006/relationships/hyperlink" Target="https://drive.google.com/open?id=11Tl3Rwbs6RZg_FJKqD_ZAAGYFQHX4foF" TargetMode="External" Id="rId3" /><Relationship Type="http://schemas.openxmlformats.org/officeDocument/2006/relationships/hyperlink" Target="https://drive.google.com/open?id=1BoKquJoKkfvo3yBeByuFf14UVt46ILAc" TargetMode="External" Id="rId4" /><Relationship Type="http://schemas.openxmlformats.org/officeDocument/2006/relationships/hyperlink" Target="https://drive.google.com/open?id=1dWY5rHx-uDv5bFxy-hUFLswjZW-HSvk-" TargetMode="External" Id="rId5" /></Relationships>
</file>

<file path=xl/worksheets/_rels/sheet5.xml.rels><Relationships xmlns="http://schemas.openxmlformats.org/package/2006/relationships"><Relationship Type="http://schemas.openxmlformats.org/officeDocument/2006/relationships/hyperlink" Target="https://drive.google.com/open?id=1GilKZQ_dR4-eKGVTnYyCDe8JJrblf3OT" TargetMode="External" Id="rId1" /><Relationship Type="http://schemas.openxmlformats.org/officeDocument/2006/relationships/hyperlink" Target="https://drive.google.com/open?id=1a3XDANK25TIXOe5zYhNy93bkSxs7g1f2" TargetMode="External" Id="rId2" /><Relationship Type="http://schemas.openxmlformats.org/officeDocument/2006/relationships/hyperlink" Target="https://drive.google.com/open?id=11Tl3Rwbs6RZg_FJKqD_ZAAGYFQHX4foF" TargetMode="External" Id="rId3" /><Relationship Type="http://schemas.openxmlformats.org/officeDocument/2006/relationships/hyperlink" Target="https://drive.google.com/open?id=1BoKquJoKkfvo3yBeByuFf14UVt46ILAc" TargetMode="External" Id="rId4" /><Relationship Type="http://schemas.openxmlformats.org/officeDocument/2006/relationships/hyperlink" Target="https://drive.google.com/open?id=1dWY5rHx-uDv5bFxy-hUFLswjZW-HSvk-" TargetMode="External" Id="rId5" /></Relationships>
</file>

<file path=xl/worksheets/_rels/sheet6.xml.rels><Relationships xmlns="http://schemas.openxmlformats.org/package/2006/relationships"><Relationship Type="http://schemas.openxmlformats.org/officeDocument/2006/relationships/hyperlink" Target="https://drive.google.com/open?id=1GilKZQ_dR4-eKGVTnYyCDe8JJrblf3OT" TargetMode="External" Id="rId1" /><Relationship Type="http://schemas.openxmlformats.org/officeDocument/2006/relationships/hyperlink" Target="https://drive.google.com/open?id=1a3XDANK25TIXOe5zYhNy93bkSxs7g1f2" TargetMode="External" Id="rId2" /><Relationship Type="http://schemas.openxmlformats.org/officeDocument/2006/relationships/hyperlink" Target="https://drive.google.com/open?id=11Tl3Rwbs6RZg_FJKqD_ZAAGYFQHX4foF" TargetMode="External" Id="rId3" /><Relationship Type="http://schemas.openxmlformats.org/officeDocument/2006/relationships/hyperlink" Target="https://drive.google.com/open?id=1BoKquJoKkfvo3yBeByuFf14UVt46ILAc" TargetMode="External" Id="rId4" /><Relationship Type="http://schemas.openxmlformats.org/officeDocument/2006/relationships/hyperlink" Target="https://drive.google.com/open?id=1dWY5rHx-uDv5bFxy-hUFLswjZW-HSvk-" TargetMode="External" Id="rId5" /></Relationships>
</file>

<file path=xl/worksheets/sheet1.xml><?xml version="1.0" encoding="utf-8"?>
<worksheet xmlns="http://schemas.openxmlformats.org/spreadsheetml/2006/main">
  <sheetPr>
    <outlinePr summaryBelow="1" summaryRight="1"/>
    <pageSetUpPr/>
  </sheetPr>
  <dimension ref="A1:A38"/>
  <sheetViews>
    <sheetView showGridLines="0" workbookViewId="0">
      <selection activeCell="A1" sqref="A1"/>
    </sheetView>
  </sheetViews>
  <sheetFormatPr baseColWidth="8" defaultRowHeight="15"/>
  <cols>
    <col width="95" customWidth="1" min="1" max="1"/>
  </cols>
  <sheetData>
    <row r="1" ht="28" customHeight="1">
      <c r="A1" s="1" t="inlineStr">
        <is>
          <t>Rubrik Penilaian Proposal PBL - Kelas TI_3C</t>
        </is>
      </c>
    </row>
    <row r="2" ht="20" customHeight="1">
      <c r="A2" s="2" t="inlineStr">
        <is>
          <t>Semester 5 - Checkpoint Proposal (Minggu 3)</t>
        </is>
      </c>
    </row>
    <row r="5">
      <c r="A5" s="3" t="inlineStr">
        <is>
          <t>Latar belakang</t>
        </is>
      </c>
    </row>
    <row r="6" ht="46" customHeight="1">
      <c r="A6" s="4" t="inlineStr">
        <is>
          <t>Rapat koordinasi PBL tanggal 4 September 2026 mewajibkan setiap mata kuliah terintegrasi PBL menyusun rubrik penilaian per checkpoint sendiri, dengan rubrik Proposal jatuh tempo pada Minggu 3. Hingga saat ini rubrik khusus per mata kuliah belum diserahkan, sehingga rubrik umum ini digunakan sebagai standar sementara yang berlaku sama untuk seluruh kelas.</t>
        </is>
      </c>
    </row>
    <row r="8">
      <c r="A8" s="3" t="inlineStr">
        <is>
          <t>Setiap dosen menilai di sheet sendiri</t>
        </is>
      </c>
    </row>
    <row r="9" ht="46" customHeight="1">
      <c r="A9" s="4" t="inlineStr">
        <is>
          <t>Kelas TI_3C diampu oleh 3 mata kuliah terintegrasi PBL: Pemrograman Mobile, Pembelajaran Mesin, Penjaminan Mutu Perangkat Lunak. Setiap mata kuliah punya sheet penilaian sendiri (nama sheet = nama mata kuliah), sehingga setiap dosen pengampu dapat mengisi nilai secara independen dalam satu berkas yang sama tanpa saling menimpa isian dosen lain.</t>
        </is>
      </c>
    </row>
    <row r="11">
      <c r="A11" s="3" t="inlineStr">
        <is>
          <t>Skala penilaian</t>
        </is>
      </c>
    </row>
    <row r="12" ht="46" customHeight="1">
      <c r="A12" s="4" t="inlineStr">
        <is>
          <t>Setiap kriteria dinilai pada skala 1-5 (1 = sangat kurang, 5 = sangat baik) melalui dropdown pada sel yang berwarna kuning. Deskriptor lengkap setiap level ada di sheet "Rubrik".</t>
        </is>
      </c>
    </row>
    <row r="14">
      <c r="A14" s="3" t="inlineStr">
        <is>
          <t>PENTING - penilaian hanya level kelompok</t>
        </is>
      </c>
    </row>
    <row r="15" ht="46" customHeight="1">
      <c r="A15" s="4" t="inlineStr">
        <is>
          <t>Seluruh penilaian pada workbook ini berada di level TIM/KELOMPOK. Tidak ada penilaian individu pada tahap proposal, karena pada fase ini belum ada produk kerja individu yang bisa dinilai terpisah dari dokumen tim. Penilaian kontribusi individu mahasiswa sepenuhnya menjadi kewenangan dosen pengampu masing-masing mata kuliah pada checkpoint berikutnya (Milestone 1, Milestone 2, dan Final), menggunakan mekanisme yang mereka tentukan sendiri.</t>
        </is>
      </c>
    </row>
    <row r="17">
      <c r="A17" s="3" t="inlineStr">
        <is>
          <t>Kolom Anggota Tim</t>
        </is>
      </c>
    </row>
    <row r="18" ht="46" customHeight="1">
      <c r="A18" s="4" t="inlineStr">
        <is>
          <t>Formulir pengumpulan proposal tidak mengumpulkan daftar anggota tim secara terstruktur, hanya nama tim dan nama ketua tim. Kolom "Anggota Tim" sudah diisi awal dengan nama ketua dan berwarna kuning (bisa diedit) -- mohon lengkapi dengan anggota lain saat memeriksa proposal, mengacu pada bagian Identitas Tim di dokumen proposal masing-masing.</t>
        </is>
      </c>
    </row>
    <row r="20">
      <c r="A20" s="3" t="inlineStr">
        <is>
          <t>Bobot kriteria</t>
        </is>
      </c>
    </row>
    <row r="21" ht="46" customHeight="1">
      <c r="A21" s="4" t="inlineStr">
        <is>
          <t>Bobot tiap kriteria (lihat sheet "Rubrik") dalam kelipatan 5% dan berjumlah 100%. Baris bobot ini digandakan (di-echo) di setiap sheet dosen tepat di atas grid penilaian agar rumus SUMPRODUCT selalu konsisten dengan sheet Rubrik dan tidak bisa tergeser.</t>
        </is>
      </c>
    </row>
    <row r="23">
      <c r="A23" s="3" t="inlineStr">
        <is>
          <t>Nilai akhir tim</t>
        </is>
      </c>
    </row>
    <row r="24" ht="46" customHeight="1">
      <c r="A24" s="4" t="inlineStr">
        <is>
          <t>Dihitung otomatis (sel biru, jangan diedit manual) dengan rumus SUMPRODUCT(skor, bobot) / SUM(bobot) / 5 * 100, menghasilkan nilai pada skala 0-100, per dosen pengampu.</t>
        </is>
      </c>
    </row>
    <row r="26">
      <c r="A26" s="3" t="inlineStr">
        <is>
          <t>Kolom Revisi</t>
        </is>
      </c>
    </row>
    <row r="27" ht="46" customHeight="1">
      <c r="A27" s="4" t="inlineStr">
        <is>
          <t>Kolom "Revisi" pada setiap sheet dosen adalah catatan bebas (bukan skor) untuk menuliskan hal yang perlu diperbaiki tim pada proposalnya, dari sudut pandang mata kuliah tersebut.</t>
        </is>
      </c>
    </row>
    <row r="29">
      <c r="A29" s="3" t="inlineStr">
        <is>
          <t>Berkas proposal</t>
        </is>
      </c>
    </row>
    <row r="30" ht="46" customHeight="1">
      <c r="A30" s="4" t="inlineStr">
        <is>
          <t>Kolom "Berkas Proposal" berisi tautan langsung ke berkas yang diunggah tim di Google Drive.</t>
        </is>
      </c>
    </row>
    <row r="32">
      <c r="A32" s="3" t="inlineStr">
        <is>
          <t>Sheet Rekap</t>
        </is>
      </c>
    </row>
    <row r="33" ht="46" customHeight="1">
      <c r="A33" s="4" t="inlineStr">
        <is>
          <t>Sheet "Rekap" merangkum Nilai Akhir dan Revisi dari SEMUA dosen pengampu kelas ini secara berdampingan per tim, lalu menghitung Nilai Rata-rata tim tersebut secara otomatis.</t>
        </is>
      </c>
    </row>
    <row r="35">
      <c r="A35" s="3" t="inlineStr">
        <is>
          <t>Legenda warna</t>
        </is>
      </c>
    </row>
    <row r="37">
      <c r="A37" s="5" t="inlineStr">
        <is>
          <t xml:space="preserve">  Kuning -&gt; sel input (dosen mengisi skor 1-5 / anggota tim / catatan revisi)</t>
        </is>
      </c>
    </row>
    <row r="38">
      <c r="A38" s="6" t="inlineStr">
        <is>
          <t xml:space="preserve">  Biru   -&gt; sel komputasi (jangan diedit manual)</t>
        </is>
      </c>
    </row>
  </sheetData>
  <mergeCells count="2">
    <mergeCell ref="A2"/>
    <mergeCell ref="A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showGridLines="0" workbookViewId="0">
      <pane ySplit="3" topLeftCell="A4" activePane="bottomLeft" state="frozen"/>
      <selection pane="bottomLeft" activeCell="A1" sqref="A1"/>
    </sheetView>
  </sheetViews>
  <sheetFormatPr baseColWidth="8" defaultRowHeight="15"/>
  <cols>
    <col width="4" customWidth="1" min="1" max="1"/>
    <col width="34" customWidth="1" min="2" max="2"/>
    <col width="9" customWidth="1" min="3" max="3"/>
    <col width="30" customWidth="1" min="4" max="4"/>
    <col width="30" customWidth="1" min="5" max="5"/>
    <col width="30" customWidth="1" min="6" max="6"/>
    <col width="30" customWidth="1" min="7" max="7"/>
    <col width="30" customWidth="1" min="8" max="8"/>
  </cols>
  <sheetData>
    <row r="1" ht="26" customHeight="1">
      <c r="A1" s="1" t="inlineStr">
        <is>
          <t>Rubrik Penilaian Proposal (Umum, Berlaku Semua Kelas)</t>
        </is>
      </c>
      <c r="B1" s="7" t="n"/>
      <c r="C1" s="7" t="n"/>
      <c r="D1" s="7" t="n"/>
      <c r="E1" s="7" t="n"/>
      <c r="F1" s="7" t="n"/>
      <c r="G1" s="7" t="n"/>
      <c r="H1" s="7" t="n"/>
    </row>
    <row r="3" ht="20" customHeight="1">
      <c r="A3" s="8" t="inlineStr">
        <is>
          <t>No</t>
        </is>
      </c>
      <c r="B3" s="8" t="inlineStr">
        <is>
          <t>Kriteria</t>
        </is>
      </c>
      <c r="C3" s="8" t="inlineStr">
        <is>
          <t>Bobot (%)</t>
        </is>
      </c>
      <c r="D3" s="8" t="inlineStr">
        <is>
          <t>Level 1</t>
        </is>
      </c>
      <c r="E3" s="8" t="inlineStr">
        <is>
          <t>Level 2</t>
        </is>
      </c>
      <c r="F3" s="8" t="inlineStr">
        <is>
          <t>Level 3</t>
        </is>
      </c>
      <c r="G3" s="8" t="inlineStr">
        <is>
          <t>Level 4</t>
        </is>
      </c>
      <c r="H3" s="8" t="inlineStr">
        <is>
          <t>Level 5</t>
        </is>
      </c>
    </row>
    <row r="4" ht="92" customHeight="1">
      <c r="A4" s="9" t="n">
        <v>1</v>
      </c>
      <c r="B4" s="4" t="inlineStr">
        <is>
          <t>Latar Belakang dan Rumusan Masalah</t>
        </is>
      </c>
      <c r="C4" s="9" t="n">
        <v>20</v>
      </c>
      <c r="D4" s="4" t="inlineStr">
        <is>
          <t>Tidak ada latar belakang yang jelas; masalah tidak diuraikan atau tidak berdasar pada kondisi nyata.</t>
        </is>
      </c>
      <c r="E4" s="4" t="inlineStr">
        <is>
          <t>Latar belakang disampaikan secara umum tanpa data/observasi pendukung; rumusan masalah kabur dan tidak spesifik.</t>
        </is>
      </c>
      <c r="F4" s="4" t="inlineStr">
        <is>
          <t>Latar belakang cukup relevan namun bukti pendukung (wawancara, data, observasi) masih terbatas; rumusan masalah ada namun kurang tajam.</t>
        </is>
      </c>
      <c r="G4" s="4" t="inlineStr">
        <is>
          <t>Latar belakang didukung bukti yang memadai dan relevan dengan calon pengguna/mitra; rumusan masalah spesifik dan menjadi dasar solusi yang diusulkan.</t>
        </is>
      </c>
      <c r="H4" s="4" t="inlineStr">
        <is>
          <t>Latar belakang digali mendalam dengan bukti kuat dan beragam (wawancara, data kuantitatif, observasi langsung); rumusan masalah tajam, terukur, dan meyakinkan sebagai dasar seluruh proposal.</t>
        </is>
      </c>
    </row>
    <row r="5" ht="92" customHeight="1">
      <c r="A5" s="9" t="n">
        <v>2</v>
      </c>
      <c r="B5" s="4" t="inlineStr">
        <is>
          <t>Deskripsi Produk dan Solusi</t>
        </is>
      </c>
      <c r="C5" s="9" t="n">
        <v>20</v>
      </c>
      <c r="D5" s="4" t="inlineStr">
        <is>
          <t>Produk/solusi tidak dijelaskan, atau tidak berkaitan dengan masalah yang diangkat.</t>
        </is>
      </c>
      <c r="E5" s="4" t="inlineStr">
        <is>
          <t>Produk/solusi disebutkan secara umum tanpa penjelasan fitur atau cara kerja; keterkaitan dengan masalah lemah.</t>
        </is>
      </c>
      <c r="F5" s="4" t="inlineStr">
        <is>
          <t>Produk/solusi dan fitur utamanya dijelaskan, keterkaitan dengan masalah cukup jelas, namun nilai tambah dibanding pendekatan lain belum terlihat.</t>
        </is>
      </c>
      <c r="G5" s="4" t="inlineStr">
        <is>
          <t>Produk/solusi dijelaskan lengkap (fitur, cara kerja, pengguna sasaran) dan keterkaitannya dengan masalah kuat; nilai tambah solusi tergambar jelas.</t>
        </is>
      </c>
      <c r="H5" s="4" t="inlineStr">
        <is>
          <t>Produk/solusi dijelaskan lengkap dan meyakinkan, disertai alasan mengapa pendekatan ini paling sesuai dibanding alternatif lain, serta batasan solusi disampaikan secara jujur.</t>
        </is>
      </c>
    </row>
    <row r="6" ht="92" customHeight="1">
      <c r="A6" s="9" t="n">
        <v>3</v>
      </c>
      <c r="B6" s="4" t="inlineStr">
        <is>
          <t>Rancangan Teknis Awal (ERD dan Wireframe)</t>
        </is>
      </c>
      <c r="C6" s="9" t="n">
        <v>20</v>
      </c>
      <c r="D6" s="4" t="inlineStr">
        <is>
          <t>Tidak ada rancangan teknis; ERD dan wireframe tidak dilampirkan.</t>
        </is>
      </c>
      <c r="E6" s="4" t="inlineStr">
        <is>
          <t>ERD atau wireframe dilampirkan namun sangat sederhana, tidak konsisten dengan deskripsi produk, atau salah satunya tidak ada.</t>
        </is>
      </c>
      <c r="F6" s="4" t="inlineStr">
        <is>
          <t>ERD dan wireframe tersedia dan konsisten dengan deskripsi produk, namun detail entitas/atribut atau alur antarmuka masih minim.</t>
        </is>
      </c>
      <c r="G6" s="4" t="inlineStr">
        <is>
          <t>ERD dan wireframe tersedia lengkap, konsisten dengan deskripsi produk, entitas/atribut/alur digambarkan dengan jelas.</t>
        </is>
      </c>
      <c r="H6" s="4" t="inlineStr">
        <is>
          <t>ERD dan wireframe tersedia lengkap, rapi, dan konsisten; relasi antarentitas serta alur antarmuka menunjukkan pemahaman teknis yang matang terhadap kebutuhan produk.</t>
        </is>
      </c>
    </row>
    <row r="7" ht="92" customHeight="1">
      <c r="A7" s="9" t="n">
        <v>4</v>
      </c>
      <c r="B7" s="4" t="inlineStr">
        <is>
          <t>Tujuan dan Ruang Lingkup Proyek</t>
        </is>
      </c>
      <c r="C7" s="9" t="n">
        <v>15</v>
      </c>
      <c r="D7" s="4" t="inlineStr">
        <is>
          <t>Tujuan proyek tidak dirumuskan, atau ruang lingkup tidak disebutkan.</t>
        </is>
      </c>
      <c r="E7" s="4" t="inlineStr">
        <is>
          <t>Tujuan dirumuskan secara umum dan sulit diukur; batas ruang lingkup (yang dikerjakan/tidak dikerjakan) tidak jelas.</t>
        </is>
      </c>
      <c r="F7" s="4" t="inlineStr">
        <is>
          <t>Tujuan cukup jelas namun sebagian belum terukur; ruang lingkup disebutkan namun batasannya belum tegas.</t>
        </is>
      </c>
      <c r="G7" s="4" t="inlineStr">
        <is>
          <t>Tujuan dirumuskan jelas dan terukur, selaras dengan masalah dan solusi; ruang lingkup ditegaskan dengan batasan yang realistis.</t>
        </is>
      </c>
      <c r="H7" s="4" t="inlineStr">
        <is>
          <t>Tujuan dirumuskan jelas, terukur, dan selaras penuh dengan masalah/solusi; ruang lingkup ditegaskan dengan batasan realistis yang mempertimbangkan keterbatasan waktu/sumber daya tim.</t>
        </is>
      </c>
    </row>
    <row r="8" ht="92" customHeight="1">
      <c r="A8" s="9" t="n">
        <v>5</v>
      </c>
      <c r="B8" s="4" t="inlineStr">
        <is>
          <t>Rencana Kerja dan Organisasi Tim (WBS, Jadwal, Pembagian Peran)</t>
        </is>
      </c>
      <c r="C8" s="9" t="n">
        <v>15</v>
      </c>
      <c r="D8" s="4" t="inlineStr">
        <is>
          <t>Tidak ada rencana kerja; WBS, jadwal, dan pembagian peran tidak dilampirkan.</t>
        </is>
      </c>
      <c r="E8" s="4" t="inlineStr">
        <is>
          <t>Rencana kerja disebutkan secara umum; WBS/jadwal/pembagian peran ada namun tidak rinci atau tidak realistis.</t>
        </is>
      </c>
      <c r="F8" s="4" t="inlineStr">
        <is>
          <t>WBS, jadwal, dan pembagian peran tersedia dan cukup jelas, namun keterkaitan antar-anggota tim dengan modul kerja belum tegas.</t>
        </is>
      </c>
      <c r="G8" s="4" t="inlineStr">
        <is>
          <t>WBS, jadwal, dan pembagian peran tersedia rinci dan realistis; setiap anggota tim memiliki tanggung jawab modul yang jelas.</t>
        </is>
      </c>
      <c r="H8" s="4" t="inlineStr">
        <is>
          <t>WBS, jadwal, dan pembagian peran tersedia rinci, realistis, dan saling konsisten; beban kerja antaranggota tim tergambar seimbang dan risiko keterlambatan diantisipasi.</t>
        </is>
      </c>
    </row>
    <row r="9" ht="92" customHeight="1">
      <c r="A9" s="9" t="n">
        <v>6</v>
      </c>
      <c r="B9" s="4" t="inlineStr">
        <is>
          <t>Kelengkapan dan Kualitas Dokumen (Lampiran, Kerapian, Konsistensi Antar-bagian)</t>
        </is>
      </c>
      <c r="C9" s="9" t="n">
        <v>10</v>
      </c>
      <c r="D9" s="4" t="inlineStr">
        <is>
          <t>Dokumen tidak lengkap (bagian wajib hilang), format tidak rapi, dan/atau isi antar-bagian saling bertentangan.</t>
        </is>
      </c>
      <c r="E9" s="4" t="inlineStr">
        <is>
          <t>Dokumen memuat sebagian besar bagian wajib namun ada yang hilang/kurang lengkap; format dan konsistensi antar-bagian masih lemah.</t>
        </is>
      </c>
      <c r="F9" s="4" t="inlineStr">
        <is>
          <t>Dokumen lengkap secara struktur, format cukup rapi, namun ditemukan beberapa inkonsistensi kecil antar-bagian.</t>
        </is>
      </c>
      <c r="G9" s="4" t="inlineStr">
        <is>
          <t>Dokumen lengkap, rapi, dan konsisten antar-bagian, dengan lampiran pendukung yang relevan.</t>
        </is>
      </c>
      <c r="H9" s="4" t="inlineStr">
        <is>
          <t>Dokumen lengkap, rapi, dan konsisten penuh antar-bagian; lampiran pendukung relevan dan memperkuat argumen proposal secara keseluruhan.</t>
        </is>
      </c>
    </row>
    <row r="10">
      <c r="B10" s="10" t="inlineStr">
        <is>
          <t>Total Bobot</t>
        </is>
      </c>
      <c r="C10" s="11">
        <f>SUM(C4:C9)</f>
        <v/>
      </c>
    </row>
  </sheetData>
  <mergeCells count="1">
    <mergeCell ref="A1:H1"/>
  </mergeCells>
  <conditionalFormatting sqref="C10">
    <cfRule type="cellIs" priority="1" operator="notEqual" dxfId="0">
      <formula>100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Pemrograman Mobile</t>
        </is>
      </c>
      <c r="B1" s="7" t="n"/>
      <c r="C1" s="7" t="n"/>
      <c r="D1" s="7" t="n"/>
      <c r="E1" s="7" t="n"/>
      <c r="F1" s="7" t="n"/>
      <c r="G1" s="7" t="n"/>
      <c r="H1" s="7" t="n"/>
      <c r="I1" s="7" t="n"/>
      <c r="J1" s="7" t="n"/>
      <c r="K1" s="7" t="n"/>
      <c r="L1" s="7" t="n"/>
      <c r="M1" s="7" t="n"/>
      <c r="N1" s="7" t="n"/>
    </row>
    <row r="2" ht="18" customHeight="1">
      <c r="A2" s="2" t="inlineStr">
        <is>
          <t>Kelas TI_3C - Dosen Pengampu: Luqman Affandi, SKom, MMSI - Semester 5</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Banana Grade</t>
        </is>
      </c>
      <c r="C7" s="14" t="inlineStr">
        <is>
          <t>Rachmad Aprisandhy</t>
        </is>
      </c>
      <c r="D7" s="15" t="inlineStr">
        <is>
          <t>Rachmad Aprisandhy (244107020148)
Zacky Rio Orlando (244107020086)
Hafiz Rizqi Hernanda (244107020154)
Regita Abelia Putri Satriyo (244107020173)</t>
        </is>
      </c>
      <c r="E7" s="4" t="inlineStr">
        <is>
          <t>Deteksi Grading Buah Pisang Menggunakan  Convulational Neural Network (Cnn)Berbasis Mobile</t>
        </is>
      </c>
      <c r="F7" s="16" t="n"/>
      <c r="G7" s="16" t="n"/>
      <c r="H7" s="16" t="n"/>
      <c r="I7" s="16" t="n"/>
      <c r="J7" s="16" t="n"/>
      <c r="K7" s="16" t="n"/>
      <c r="L7" s="11">
        <f>IF(COUNT(F7:K7)&lt;6,"",SUMPRODUCT(F7:K7,$F$6:$K$6)/SUM($F$6:$K$6)/5*100)</f>
        <v/>
      </c>
      <c r="M7" s="15" t="n"/>
      <c r="N7" s="17" t="inlineStr">
        <is>
          <t>Buka tautan Drive</t>
        </is>
      </c>
    </row>
    <row r="8">
      <c r="A8" s="9" t="n">
        <v>2</v>
      </c>
      <c r="B8" s="14" t="inlineStr">
        <is>
          <t>PBL Meat Freshness</t>
        </is>
      </c>
      <c r="C8" s="14" t="inlineStr">
        <is>
          <t>Nawaf Azril Annaufal</t>
        </is>
      </c>
      <c r="D8" s="15" t="inlineStr">
        <is>
          <t>Adellia Salsa Al Barra (244107020222)
Bima Adiwijaya (244107020022)
Nawaf Azril Annaufal (244107020047)
Rafi Abyantara Pratama (244107020126)</t>
        </is>
      </c>
      <c r="E8" s="4" t="inlineStr">
        <is>
          <t>Meat Fresh AI</t>
        </is>
      </c>
      <c r="F8" s="16" t="n"/>
      <c r="G8" s="16" t="n"/>
      <c r="H8" s="16" t="n"/>
      <c r="I8" s="16" t="n"/>
      <c r="J8" s="16" t="n"/>
      <c r="K8" s="16" t="n"/>
      <c r="L8" s="11">
        <f>IF(COUNT(F8:K8)&lt;6,"",SUMPRODUCT(F8:K8,$F$6:$K$6)/SUM($F$6:$K$6)/5*100)</f>
        <v/>
      </c>
      <c r="M8" s="15" t="n"/>
      <c r="N8" s="17" t="inlineStr">
        <is>
          <t>Buka tautan Drive</t>
        </is>
      </c>
    </row>
    <row r="9">
      <c r="A9" s="9" t="n">
        <v>3</v>
      </c>
      <c r="B9" s="14" t="inlineStr">
        <is>
          <t>Kelompok 4</t>
        </is>
      </c>
      <c r="C9" s="14" t="inlineStr">
        <is>
          <t>Siti Mutmainah</t>
        </is>
      </c>
      <c r="D9" s="15" t="inlineStr">
        <is>
          <t>Afrizal           Kusuma Wardana (244107020007)
Andy      Otani     Dipo Yudho (244107020241)
Fata Haidar Aly (244107020108)
Siti Mutmainah (244107020143)</t>
        </is>
      </c>
      <c r="E9" s="4" t="inlineStr">
        <is>
          <t>EcoPlant AI</t>
        </is>
      </c>
      <c r="F9" s="16" t="n"/>
      <c r="G9" s="16" t="n"/>
      <c r="H9" s="16" t="n"/>
      <c r="I9" s="16" t="n"/>
      <c r="J9" s="16" t="n"/>
      <c r="K9" s="16" t="n"/>
      <c r="L9" s="11">
        <f>IF(COUNT(F9:K9)&lt;6,"",SUMPRODUCT(F9:K9,$F$6:$K$6)/SUM($F$6:$K$6)/5*100)</f>
        <v/>
      </c>
      <c r="M9" s="15" t="n"/>
      <c r="N9" s="17" t="inlineStr">
        <is>
          <t>Buka tautan Drive</t>
        </is>
      </c>
    </row>
    <row r="10">
      <c r="A10" s="9" t="n">
        <v>4</v>
      </c>
      <c r="B10" s="14" t="inlineStr">
        <is>
          <t>SRC</t>
        </is>
      </c>
      <c r="C10" s="14" t="inlineStr">
        <is>
          <t>Rakagali Resda Krisandi Putra</t>
        </is>
      </c>
      <c r="D10" s="15" t="inlineStr">
        <is>
          <t>Rakagali Resda Krisnandi P (244107020136)
Aldi Surya Saputra (244107020184)
Moch Rijal Dzaki R A (244107020240)
Khoirul Umam Novalidi (244107020210)</t>
        </is>
      </c>
      <c r="E10" s="4" t="inlineStr">
        <is>
          <t>Smart Receipt Analyzer: Sistem analisis struk belanja (rekap pengeluaran dalam kategori belanja).</t>
        </is>
      </c>
      <c r="F10" s="16" t="n"/>
      <c r="G10" s="16" t="n"/>
      <c r="H10" s="16" t="n"/>
      <c r="I10" s="16" t="n"/>
      <c r="J10" s="16" t="n"/>
      <c r="K10" s="16" t="n"/>
      <c r="L10" s="11">
        <f>IF(COUNT(F10:K10)&lt;6,"",SUMPRODUCT(F10:K10,$F$6:$K$6)/SUM($F$6:$K$6)/5*100)</f>
        <v/>
      </c>
      <c r="M10" s="15" t="n"/>
      <c r="N10" s="17" t="inlineStr">
        <is>
          <t>Buka tautan Drive</t>
        </is>
      </c>
    </row>
    <row r="11">
      <c r="A11" s="9" t="n">
        <v>5</v>
      </c>
      <c r="B11" s="14" t="inlineStr">
        <is>
          <t>PBL KELOMPOK 2 CIHUY</t>
        </is>
      </c>
      <c r="C11" s="14" t="inlineStr">
        <is>
          <t>Fijriati Rahmatur Rizqi</t>
        </is>
      </c>
      <c r="D11" s="15" t="inlineStr">
        <is>
          <t>Ketua: Fijriati Rahmatur Rizqi</t>
        </is>
      </c>
      <c r="E11" s="4" t="inlineStr">
        <is>
          <t>BicaraIsyarat</t>
        </is>
      </c>
      <c r="F11" s="16" t="n"/>
      <c r="G11" s="16" t="n"/>
      <c r="H11" s="16" t="n"/>
      <c r="I11" s="16" t="n"/>
      <c r="J11" s="16" t="n"/>
      <c r="K11" s="16" t="n"/>
      <c r="L11" s="11">
        <f>IF(COUNT(F11:K11)&lt;6,"",SUMPRODUCT(F11:K11,$F$6:$K$6)/SUM($F$6:$K$6)/5*100)</f>
        <v/>
      </c>
      <c r="M11" s="15" t="n"/>
      <c r="N11" s="17" t="inlineStr">
        <is>
          <t>Buka tautan Drive</t>
        </is>
      </c>
    </row>
  </sheetData>
  <mergeCells count="3">
    <mergeCell ref="A4:N4"/>
    <mergeCell ref="A2:N2"/>
    <mergeCell ref="A1:N1"/>
  </mergeCells>
  <dataValidations count="1">
    <dataValidation sqref="F7 F8 F9 F10 F11 G7 G8 G9 G10 G11 H7 H8 H9 H10 H11 I7 I8 I9 I10 I11 J7 J8 J9 J10 J11 K7 K8 K9 K10 K11"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Pembelajaran Mesin</t>
        </is>
      </c>
      <c r="B1" s="7" t="n"/>
      <c r="C1" s="7" t="n"/>
      <c r="D1" s="7" t="n"/>
      <c r="E1" s="7" t="n"/>
      <c r="F1" s="7" t="n"/>
      <c r="G1" s="7" t="n"/>
      <c r="H1" s="7" t="n"/>
      <c r="I1" s="7" t="n"/>
      <c r="J1" s="7" t="n"/>
      <c r="K1" s="7" t="n"/>
      <c r="L1" s="7" t="n"/>
      <c r="M1" s="7" t="n"/>
      <c r="N1" s="7" t="n"/>
    </row>
    <row r="2" ht="18" customHeight="1">
      <c r="A2" s="2" t="inlineStr">
        <is>
          <t>Kelas TI_3C - Dosen Pengampu: Muhammad Afif Hendrawan., S.Kom., M.T. - Semester 5</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Banana Grade</t>
        </is>
      </c>
      <c r="C7" s="14" t="inlineStr">
        <is>
          <t>Rachmad Aprisandhy</t>
        </is>
      </c>
      <c r="D7" s="15" t="inlineStr">
        <is>
          <t>Rachmad Aprisandhy (244107020148)
Zacky Rio Orlando (244107020086)
Hafiz Rizqi Hernanda (244107020154)
Regita Abelia Putri Satriyo (244107020173)</t>
        </is>
      </c>
      <c r="E7" s="4" t="inlineStr">
        <is>
          <t>Deteksi Grading Buah Pisang Menggunakan  Convulational Neural Network (Cnn)Berbasis Mobile</t>
        </is>
      </c>
      <c r="F7" s="16" t="n"/>
      <c r="G7" s="16" t="n"/>
      <c r="H7" s="16" t="n"/>
      <c r="I7" s="16" t="n"/>
      <c r="J7" s="16" t="n"/>
      <c r="K7" s="16" t="n"/>
      <c r="L7" s="11">
        <f>IF(COUNT(F7:K7)&lt;6,"",SUMPRODUCT(F7:K7,$F$6:$K$6)/SUM($F$6:$K$6)/5*100)</f>
        <v/>
      </c>
      <c r="M7" s="15" t="n"/>
      <c r="N7" s="17" t="inlineStr">
        <is>
          <t>Buka tautan Drive</t>
        </is>
      </c>
    </row>
    <row r="8">
      <c r="A8" s="9" t="n">
        <v>2</v>
      </c>
      <c r="B8" s="14" t="inlineStr">
        <is>
          <t>PBL Meat Freshness</t>
        </is>
      </c>
      <c r="C8" s="14" t="inlineStr">
        <is>
          <t>Nawaf Azril Annaufal</t>
        </is>
      </c>
      <c r="D8" s="15" t="inlineStr">
        <is>
          <t>Adellia Salsa Al Barra (244107020222)
Bima Adiwijaya (244107020022)
Nawaf Azril Annaufal (244107020047)
Rafi Abyantara Pratama (244107020126)</t>
        </is>
      </c>
      <c r="E8" s="4" t="inlineStr">
        <is>
          <t>Meat Fresh AI</t>
        </is>
      </c>
      <c r="F8" s="16" t="n"/>
      <c r="G8" s="16" t="n"/>
      <c r="H8" s="16" t="n"/>
      <c r="I8" s="16" t="n"/>
      <c r="J8" s="16" t="n"/>
      <c r="K8" s="16" t="n"/>
      <c r="L8" s="11">
        <f>IF(COUNT(F8:K8)&lt;6,"",SUMPRODUCT(F8:K8,$F$6:$K$6)/SUM($F$6:$K$6)/5*100)</f>
        <v/>
      </c>
      <c r="M8" s="15" t="n"/>
      <c r="N8" s="17" t="inlineStr">
        <is>
          <t>Buka tautan Drive</t>
        </is>
      </c>
    </row>
    <row r="9">
      <c r="A9" s="9" t="n">
        <v>3</v>
      </c>
      <c r="B9" s="14" t="inlineStr">
        <is>
          <t>Kelompok 4</t>
        </is>
      </c>
      <c r="C9" s="14" t="inlineStr">
        <is>
          <t>Siti Mutmainah</t>
        </is>
      </c>
      <c r="D9" s="15" t="inlineStr">
        <is>
          <t>Afrizal           Kusuma Wardana (244107020007)
Andy      Otani     Dipo Yudho (244107020241)
Fata Haidar Aly (244107020108)
Siti Mutmainah (244107020143)</t>
        </is>
      </c>
      <c r="E9" s="4" t="inlineStr">
        <is>
          <t>EcoPlant AI</t>
        </is>
      </c>
      <c r="F9" s="16" t="n"/>
      <c r="G9" s="16" t="n"/>
      <c r="H9" s="16" t="n"/>
      <c r="I9" s="16" t="n"/>
      <c r="J9" s="16" t="n"/>
      <c r="K9" s="16" t="n"/>
      <c r="L9" s="11">
        <f>IF(COUNT(F9:K9)&lt;6,"",SUMPRODUCT(F9:K9,$F$6:$K$6)/SUM($F$6:$K$6)/5*100)</f>
        <v/>
      </c>
      <c r="M9" s="15" t="n"/>
      <c r="N9" s="17" t="inlineStr">
        <is>
          <t>Buka tautan Drive</t>
        </is>
      </c>
    </row>
    <row r="10">
      <c r="A10" s="9" t="n">
        <v>4</v>
      </c>
      <c r="B10" s="14" t="inlineStr">
        <is>
          <t>SRC</t>
        </is>
      </c>
      <c r="C10" s="14" t="inlineStr">
        <is>
          <t>Rakagali Resda Krisandi Putra</t>
        </is>
      </c>
      <c r="D10" s="15" t="inlineStr">
        <is>
          <t>Rakagali Resda Krisnandi P (244107020136)
Aldi Surya Saputra (244107020184)
Moch Rijal Dzaki R A (244107020240)
Khoirul Umam Novalidi (244107020210)</t>
        </is>
      </c>
      <c r="E10" s="4" t="inlineStr">
        <is>
          <t>Smart Receipt Analyzer: Sistem analisis struk belanja (rekap pengeluaran dalam kategori belanja).</t>
        </is>
      </c>
      <c r="F10" s="16" t="n"/>
      <c r="G10" s="16" t="n"/>
      <c r="H10" s="16" t="n"/>
      <c r="I10" s="16" t="n"/>
      <c r="J10" s="16" t="n"/>
      <c r="K10" s="16" t="n"/>
      <c r="L10" s="11">
        <f>IF(COUNT(F10:K10)&lt;6,"",SUMPRODUCT(F10:K10,$F$6:$K$6)/SUM($F$6:$K$6)/5*100)</f>
        <v/>
      </c>
      <c r="M10" s="15" t="n"/>
      <c r="N10" s="17" t="inlineStr">
        <is>
          <t>Buka tautan Drive</t>
        </is>
      </c>
    </row>
    <row r="11">
      <c r="A11" s="9" t="n">
        <v>5</v>
      </c>
      <c r="B11" s="14" t="inlineStr">
        <is>
          <t>PBL KELOMPOK 2 CIHUY</t>
        </is>
      </c>
      <c r="C11" s="14" t="inlineStr">
        <is>
          <t>Fijriati Rahmatur Rizqi</t>
        </is>
      </c>
      <c r="D11" s="15" t="inlineStr">
        <is>
          <t>Ketua: Fijriati Rahmatur Rizqi</t>
        </is>
      </c>
      <c r="E11" s="4" t="inlineStr">
        <is>
          <t>BicaraIsyarat</t>
        </is>
      </c>
      <c r="F11" s="16" t="n"/>
      <c r="G11" s="16" t="n"/>
      <c r="H11" s="16" t="n"/>
      <c r="I11" s="16" t="n"/>
      <c r="J11" s="16" t="n"/>
      <c r="K11" s="16" t="n"/>
      <c r="L11" s="11">
        <f>IF(COUNT(F11:K11)&lt;6,"",SUMPRODUCT(F11:K11,$F$6:$K$6)/SUM($F$6:$K$6)/5*100)</f>
        <v/>
      </c>
      <c r="M11" s="15" t="n"/>
      <c r="N11" s="17" t="inlineStr">
        <is>
          <t>Buka tautan Drive</t>
        </is>
      </c>
    </row>
  </sheetData>
  <mergeCells count="3">
    <mergeCell ref="A4:N4"/>
    <mergeCell ref="A2:N2"/>
    <mergeCell ref="A1:N1"/>
  </mergeCells>
  <dataValidations count="1">
    <dataValidation sqref="F7 F8 F9 F10 F11 G7 G8 G9 G10 G11 H7 H8 H9 H10 H11 I7 I8 I9 I10 I11 J7 J8 J9 J10 J11 K7 K8 K9 K10 K11"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Penjaminan Mutu Perangkat Lunak</t>
        </is>
      </c>
      <c r="B1" s="7" t="n"/>
      <c r="C1" s="7" t="n"/>
      <c r="D1" s="7" t="n"/>
      <c r="E1" s="7" t="n"/>
      <c r="F1" s="7" t="n"/>
      <c r="G1" s="7" t="n"/>
      <c r="H1" s="7" t="n"/>
      <c r="I1" s="7" t="n"/>
      <c r="J1" s="7" t="n"/>
      <c r="K1" s="7" t="n"/>
      <c r="L1" s="7" t="n"/>
      <c r="M1" s="7" t="n"/>
      <c r="N1" s="7" t="n"/>
    </row>
    <row r="2" ht="18" customHeight="1">
      <c r="A2" s="2" t="inlineStr">
        <is>
          <t>Kelas TI_3C - Dosen Pengampu: Dika Rizky Yunianto, S.Kom, M.Kom - Semester 5</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Banana Grade</t>
        </is>
      </c>
      <c r="C7" s="14" t="inlineStr">
        <is>
          <t>Rachmad Aprisandhy</t>
        </is>
      </c>
      <c r="D7" s="15" t="inlineStr">
        <is>
          <t>Rachmad Aprisandhy (244107020148)
Zacky Rio Orlando (244107020086)
Hafiz Rizqi Hernanda (244107020154)
Regita Abelia Putri Satriyo (244107020173)</t>
        </is>
      </c>
      <c r="E7" s="4" t="inlineStr">
        <is>
          <t>Deteksi Grading Buah Pisang Menggunakan  Convulational Neural Network (Cnn)Berbasis Mobile</t>
        </is>
      </c>
      <c r="F7" s="16" t="n"/>
      <c r="G7" s="16" t="n"/>
      <c r="H7" s="16" t="n"/>
      <c r="I7" s="16" t="n"/>
      <c r="J7" s="16" t="n"/>
      <c r="K7" s="16" t="n"/>
      <c r="L7" s="11">
        <f>IF(COUNT(F7:K7)&lt;6,"",SUMPRODUCT(F7:K7,$F$6:$K$6)/SUM($F$6:$K$6)/5*100)</f>
        <v/>
      </c>
      <c r="M7" s="15" t="n"/>
      <c r="N7" s="17" t="inlineStr">
        <is>
          <t>Buka tautan Drive</t>
        </is>
      </c>
    </row>
    <row r="8">
      <c r="A8" s="9" t="n">
        <v>2</v>
      </c>
      <c r="B8" s="14" t="inlineStr">
        <is>
          <t>PBL Meat Freshness</t>
        </is>
      </c>
      <c r="C8" s="14" t="inlineStr">
        <is>
          <t>Nawaf Azril Annaufal</t>
        </is>
      </c>
      <c r="D8" s="15" t="inlineStr">
        <is>
          <t>Adellia Salsa Al Barra (244107020222)
Bima Adiwijaya (244107020022)
Nawaf Azril Annaufal (244107020047)
Rafi Abyantara Pratama (244107020126)</t>
        </is>
      </c>
      <c r="E8" s="4" t="inlineStr">
        <is>
          <t>Meat Fresh AI</t>
        </is>
      </c>
      <c r="F8" s="16" t="n"/>
      <c r="G8" s="16" t="n"/>
      <c r="H8" s="16" t="n"/>
      <c r="I8" s="16" t="n"/>
      <c r="J8" s="16" t="n"/>
      <c r="K8" s="16" t="n"/>
      <c r="L8" s="11">
        <f>IF(COUNT(F8:K8)&lt;6,"",SUMPRODUCT(F8:K8,$F$6:$K$6)/SUM($F$6:$K$6)/5*100)</f>
        <v/>
      </c>
      <c r="M8" s="15" t="n"/>
      <c r="N8" s="17" t="inlineStr">
        <is>
          <t>Buka tautan Drive</t>
        </is>
      </c>
    </row>
    <row r="9">
      <c r="A9" s="9" t="n">
        <v>3</v>
      </c>
      <c r="B9" s="14" t="inlineStr">
        <is>
          <t>Kelompok 4</t>
        </is>
      </c>
      <c r="C9" s="14" t="inlineStr">
        <is>
          <t>Siti Mutmainah</t>
        </is>
      </c>
      <c r="D9" s="15" t="inlineStr">
        <is>
          <t>Afrizal           Kusuma Wardana (244107020007)
Andy      Otani     Dipo Yudho (244107020241)
Fata Haidar Aly (244107020108)
Siti Mutmainah (244107020143)</t>
        </is>
      </c>
      <c r="E9" s="4" t="inlineStr">
        <is>
          <t>EcoPlant AI</t>
        </is>
      </c>
      <c r="F9" s="16" t="n"/>
      <c r="G9" s="16" t="n"/>
      <c r="H9" s="16" t="n"/>
      <c r="I9" s="16" t="n"/>
      <c r="J9" s="16" t="n"/>
      <c r="K9" s="16" t="n"/>
      <c r="L9" s="11">
        <f>IF(COUNT(F9:K9)&lt;6,"",SUMPRODUCT(F9:K9,$F$6:$K$6)/SUM($F$6:$K$6)/5*100)</f>
        <v/>
      </c>
      <c r="M9" s="15" t="n"/>
      <c r="N9" s="17" t="inlineStr">
        <is>
          <t>Buka tautan Drive</t>
        </is>
      </c>
    </row>
    <row r="10">
      <c r="A10" s="9" t="n">
        <v>4</v>
      </c>
      <c r="B10" s="14" t="inlineStr">
        <is>
          <t>SRC</t>
        </is>
      </c>
      <c r="C10" s="14" t="inlineStr">
        <is>
          <t>Rakagali Resda Krisandi Putra</t>
        </is>
      </c>
      <c r="D10" s="15" t="inlineStr">
        <is>
          <t>Rakagali Resda Krisnandi P (244107020136)
Aldi Surya Saputra (244107020184)
Moch Rijal Dzaki R A (244107020240)
Khoirul Umam Novalidi (244107020210)</t>
        </is>
      </c>
      <c r="E10" s="4" t="inlineStr">
        <is>
          <t>Smart Receipt Analyzer: Sistem analisis struk belanja (rekap pengeluaran dalam kategori belanja).</t>
        </is>
      </c>
      <c r="F10" s="16" t="n"/>
      <c r="G10" s="16" t="n"/>
      <c r="H10" s="16" t="n"/>
      <c r="I10" s="16" t="n"/>
      <c r="J10" s="16" t="n"/>
      <c r="K10" s="16" t="n"/>
      <c r="L10" s="11">
        <f>IF(COUNT(F10:K10)&lt;6,"",SUMPRODUCT(F10:K10,$F$6:$K$6)/SUM($F$6:$K$6)/5*100)</f>
        <v/>
      </c>
      <c r="M10" s="15" t="n"/>
      <c r="N10" s="17" t="inlineStr">
        <is>
          <t>Buka tautan Drive</t>
        </is>
      </c>
    </row>
    <row r="11">
      <c r="A11" s="9" t="n">
        <v>5</v>
      </c>
      <c r="B11" s="14" t="inlineStr">
        <is>
          <t>PBL KELOMPOK 2 CIHUY</t>
        </is>
      </c>
      <c r="C11" s="14" t="inlineStr">
        <is>
          <t>Fijriati Rahmatur Rizqi</t>
        </is>
      </c>
      <c r="D11" s="15" t="inlineStr">
        <is>
          <t>Ketua: Fijriati Rahmatur Rizqi</t>
        </is>
      </c>
      <c r="E11" s="4" t="inlineStr">
        <is>
          <t>BicaraIsyarat</t>
        </is>
      </c>
      <c r="F11" s="16" t="n"/>
      <c r="G11" s="16" t="n"/>
      <c r="H11" s="16" t="n"/>
      <c r="I11" s="16" t="n"/>
      <c r="J11" s="16" t="n"/>
      <c r="K11" s="16" t="n"/>
      <c r="L11" s="11">
        <f>IF(COUNT(F11:K11)&lt;6,"",SUMPRODUCT(F11:K11,$F$6:$K$6)/SUM($F$6:$K$6)/5*100)</f>
        <v/>
      </c>
      <c r="M11" s="15" t="n"/>
      <c r="N11" s="17" t="inlineStr">
        <is>
          <t>Buka tautan Drive</t>
        </is>
      </c>
    </row>
  </sheetData>
  <mergeCells count="3">
    <mergeCell ref="A4:N4"/>
    <mergeCell ref="A2:N2"/>
    <mergeCell ref="A1:N1"/>
  </mergeCells>
  <dataValidations count="1">
    <dataValidation sqref="F7 F8 F9 F10 F11 G7 G8 G9 G10 G11 H7 H8 H9 H10 H11 I7 I8 I9 I10 I11 J7 J8 J9 J10 J11 K7 K8 K9 K10 K11"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2" customWidth="1" min="6" max="6"/>
    <col width="26" customWidth="1" min="7" max="7"/>
    <col width="12" customWidth="1" min="8" max="8"/>
    <col width="26" customWidth="1" min="9" max="9"/>
    <col width="12" customWidth="1" min="10" max="10"/>
    <col width="26" customWidth="1" min="11" max="11"/>
    <col width="14" customWidth="1" min="12" max="12"/>
    <col width="24" customWidth="1" min="13" max="13"/>
  </cols>
  <sheetData>
    <row r="1" ht="26" customHeight="1">
      <c r="A1" s="1" t="inlineStr">
        <is>
          <t>Rekap Nilai Proposal - Kelas TI_3C (Semua Dosen)</t>
        </is>
      </c>
      <c r="B1" s="7" t="n"/>
      <c r="C1" s="7" t="n"/>
      <c r="D1" s="7" t="n"/>
      <c r="E1" s="7" t="n"/>
      <c r="F1" s="7" t="n"/>
      <c r="G1" s="7" t="n"/>
      <c r="H1" s="7" t="n"/>
      <c r="I1" s="7" t="n"/>
      <c r="J1" s="7" t="n"/>
      <c r="K1" s="7" t="n"/>
      <c r="L1" s="7" t="n"/>
      <c r="M1" s="7" t="n"/>
    </row>
    <row r="2" ht="18" customHeight="1">
      <c r="A2" s="2" t="inlineStr">
        <is>
          <t>Semester 5 - Checkpoint Proposal</t>
        </is>
      </c>
      <c r="B2" s="7" t="n"/>
      <c r="C2" s="7" t="n"/>
      <c r="D2" s="7" t="n"/>
      <c r="E2" s="7" t="n"/>
      <c r="F2" s="7" t="n"/>
      <c r="G2" s="7" t="n"/>
      <c r="H2" s="7" t="n"/>
      <c r="I2" s="7" t="n"/>
      <c r="J2" s="7" t="n"/>
      <c r="K2" s="7" t="n"/>
      <c r="L2" s="7" t="n"/>
      <c r="M2" s="7" t="n"/>
    </row>
    <row r="4" ht="42" customHeight="1">
      <c r="A4" s="8" t="inlineStr">
        <is>
          <t>No</t>
        </is>
      </c>
      <c r="B4" s="8" t="inlineStr">
        <is>
          <t>Nama Tim</t>
        </is>
      </c>
      <c r="C4" s="8" t="inlineStr">
        <is>
          <t>Nama Ketua Tim</t>
        </is>
      </c>
      <c r="D4" s="8" t="inlineStr">
        <is>
          <t>Anggota Tim</t>
        </is>
      </c>
      <c r="E4" s="8" t="inlineStr">
        <is>
          <t>Judul Produk</t>
        </is>
      </c>
      <c r="F4" s="8" t="inlineStr">
        <is>
          <t>Nilai - Pemrograman Mobile</t>
        </is>
      </c>
      <c r="G4" s="8" t="inlineStr">
        <is>
          <t>Revisi - Pemrograman Mobile</t>
        </is>
      </c>
      <c r="H4" s="8" t="inlineStr">
        <is>
          <t>Nilai - Pembelajaran Mesin</t>
        </is>
      </c>
      <c r="I4" s="8" t="inlineStr">
        <is>
          <t>Revisi - Pembelajaran Mesin</t>
        </is>
      </c>
      <c r="J4" s="8" t="inlineStr">
        <is>
          <t>Nilai - Penjaminan Mutu Perangkat Lunak</t>
        </is>
      </c>
      <c r="K4" s="8" t="inlineStr">
        <is>
          <t>Revisi - Penjaminan Mutu Perangkat Lunak</t>
        </is>
      </c>
      <c r="L4" s="8" t="inlineStr">
        <is>
          <t>Nilai Rata-rata</t>
        </is>
      </c>
      <c r="M4" s="8" t="inlineStr">
        <is>
          <t>Berkas Proposal</t>
        </is>
      </c>
    </row>
    <row r="5">
      <c r="A5" s="9" t="n">
        <v>1</v>
      </c>
      <c r="B5" s="14" t="inlineStr">
        <is>
          <t>Banana Grade</t>
        </is>
      </c>
      <c r="C5" s="14" t="inlineStr">
        <is>
          <t>Rachmad Aprisandhy</t>
        </is>
      </c>
      <c r="D5" s="4">
        <f>'Pemrograman Mobile'!D7</f>
        <v/>
      </c>
      <c r="E5" s="4" t="inlineStr">
        <is>
          <t>Deteksi Grading Buah Pisang Menggunakan  Convulational Neural Network (Cnn)Berbasis Mobile</t>
        </is>
      </c>
      <c r="F5" s="11">
        <f>'Pemrograman Mobile'!L7</f>
        <v/>
      </c>
      <c r="G5" s="4">
        <f>'Pemrograman Mobile'!M7</f>
        <v/>
      </c>
      <c r="H5" s="11">
        <f>'Pembelajaran Mesin'!L7</f>
        <v/>
      </c>
      <c r="I5" s="4">
        <f>'Pembelajaran Mesin'!M7</f>
        <v/>
      </c>
      <c r="J5" s="11">
        <f>'Penjaminan Mutu Perangkat Lunak'!L7</f>
        <v/>
      </c>
      <c r="K5" s="4">
        <f>'Penjaminan Mutu Perangkat Lunak'!M7</f>
        <v/>
      </c>
      <c r="L5" s="11">
        <f>IFERROR(AVERAGE(F5,H5,J5),"")</f>
        <v/>
      </c>
      <c r="M5" s="17" t="inlineStr">
        <is>
          <t>Buka tautan Drive</t>
        </is>
      </c>
    </row>
    <row r="6">
      <c r="A6" s="9" t="n">
        <v>2</v>
      </c>
      <c r="B6" s="14" t="inlineStr">
        <is>
          <t>PBL Meat Freshness</t>
        </is>
      </c>
      <c r="C6" s="14" t="inlineStr">
        <is>
          <t>Nawaf Azril Annaufal</t>
        </is>
      </c>
      <c r="D6" s="4">
        <f>'Pemrograman Mobile'!D8</f>
        <v/>
      </c>
      <c r="E6" s="4" t="inlineStr">
        <is>
          <t>Meat Fresh AI</t>
        </is>
      </c>
      <c r="F6" s="11">
        <f>'Pemrograman Mobile'!L8</f>
        <v/>
      </c>
      <c r="G6" s="4">
        <f>'Pemrograman Mobile'!M8</f>
        <v/>
      </c>
      <c r="H6" s="11">
        <f>'Pembelajaran Mesin'!L8</f>
        <v/>
      </c>
      <c r="I6" s="4">
        <f>'Pembelajaran Mesin'!M8</f>
        <v/>
      </c>
      <c r="J6" s="11">
        <f>'Penjaminan Mutu Perangkat Lunak'!L8</f>
        <v/>
      </c>
      <c r="K6" s="4">
        <f>'Penjaminan Mutu Perangkat Lunak'!M8</f>
        <v/>
      </c>
      <c r="L6" s="11">
        <f>IFERROR(AVERAGE(F6,H6,J6),"")</f>
        <v/>
      </c>
      <c r="M6" s="17" t="inlineStr">
        <is>
          <t>Buka tautan Drive</t>
        </is>
      </c>
    </row>
    <row r="7">
      <c r="A7" s="9" t="n">
        <v>3</v>
      </c>
      <c r="B7" s="14" t="inlineStr">
        <is>
          <t>Kelompok 4</t>
        </is>
      </c>
      <c r="C7" s="14" t="inlineStr">
        <is>
          <t>Siti Mutmainah</t>
        </is>
      </c>
      <c r="D7" s="4">
        <f>'Pemrograman Mobile'!D9</f>
        <v/>
      </c>
      <c r="E7" s="4" t="inlineStr">
        <is>
          <t>EcoPlant AI</t>
        </is>
      </c>
      <c r="F7" s="11">
        <f>'Pemrograman Mobile'!L9</f>
        <v/>
      </c>
      <c r="G7" s="4">
        <f>'Pemrograman Mobile'!M9</f>
        <v/>
      </c>
      <c r="H7" s="11">
        <f>'Pembelajaran Mesin'!L9</f>
        <v/>
      </c>
      <c r="I7" s="4">
        <f>'Pembelajaran Mesin'!M9</f>
        <v/>
      </c>
      <c r="J7" s="11">
        <f>'Penjaminan Mutu Perangkat Lunak'!L9</f>
        <v/>
      </c>
      <c r="K7" s="4">
        <f>'Penjaminan Mutu Perangkat Lunak'!M9</f>
        <v/>
      </c>
      <c r="L7" s="11">
        <f>IFERROR(AVERAGE(F7,H7,J7),"")</f>
        <v/>
      </c>
      <c r="M7" s="17" t="inlineStr">
        <is>
          <t>Buka tautan Drive</t>
        </is>
      </c>
    </row>
    <row r="8">
      <c r="A8" s="9" t="n">
        <v>4</v>
      </c>
      <c r="B8" s="14" t="inlineStr">
        <is>
          <t>SRC</t>
        </is>
      </c>
      <c r="C8" s="14" t="inlineStr">
        <is>
          <t>Rakagali Resda Krisandi Putra</t>
        </is>
      </c>
      <c r="D8" s="4">
        <f>'Pemrograman Mobile'!D10</f>
        <v/>
      </c>
      <c r="E8" s="4" t="inlineStr">
        <is>
          <t>Smart Receipt Analyzer: Sistem analisis struk belanja (rekap pengeluaran dalam kategori belanja).</t>
        </is>
      </c>
      <c r="F8" s="11">
        <f>'Pemrograman Mobile'!L10</f>
        <v/>
      </c>
      <c r="G8" s="4">
        <f>'Pemrograman Mobile'!M10</f>
        <v/>
      </c>
      <c r="H8" s="11">
        <f>'Pembelajaran Mesin'!L10</f>
        <v/>
      </c>
      <c r="I8" s="4">
        <f>'Pembelajaran Mesin'!M10</f>
        <v/>
      </c>
      <c r="J8" s="11">
        <f>'Penjaminan Mutu Perangkat Lunak'!L10</f>
        <v/>
      </c>
      <c r="K8" s="4">
        <f>'Penjaminan Mutu Perangkat Lunak'!M10</f>
        <v/>
      </c>
      <c r="L8" s="11">
        <f>IFERROR(AVERAGE(F8,H8,J8),"")</f>
        <v/>
      </c>
      <c r="M8" s="17" t="inlineStr">
        <is>
          <t>Buka tautan Drive</t>
        </is>
      </c>
    </row>
    <row r="9">
      <c r="A9" s="9" t="n">
        <v>5</v>
      </c>
      <c r="B9" s="14" t="inlineStr">
        <is>
          <t>PBL KELOMPOK 2 CIHUY</t>
        </is>
      </c>
      <c r="C9" s="14" t="inlineStr">
        <is>
          <t>Fijriati Rahmatur Rizqi</t>
        </is>
      </c>
      <c r="D9" s="4">
        <f>'Pemrograman Mobile'!D11</f>
        <v/>
      </c>
      <c r="E9" s="4" t="inlineStr">
        <is>
          <t>BicaraIsyarat</t>
        </is>
      </c>
      <c r="F9" s="11">
        <f>'Pemrograman Mobile'!L11</f>
        <v/>
      </c>
      <c r="G9" s="4">
        <f>'Pemrograman Mobile'!M11</f>
        <v/>
      </c>
      <c r="H9" s="11">
        <f>'Pembelajaran Mesin'!L11</f>
        <v/>
      </c>
      <c r="I9" s="4">
        <f>'Pembelajaran Mesin'!M11</f>
        <v/>
      </c>
      <c r="J9" s="11">
        <f>'Penjaminan Mutu Perangkat Lunak'!L11</f>
        <v/>
      </c>
      <c r="K9" s="4">
        <f>'Penjaminan Mutu Perangkat Lunak'!M11</f>
        <v/>
      </c>
      <c r="L9" s="11">
        <f>IFERROR(AVERAGE(F9,H9,J9),"")</f>
        <v/>
      </c>
      <c r="M9" s="17" t="inlineStr">
        <is>
          <t>Buka tautan Drive</t>
        </is>
      </c>
    </row>
  </sheetData>
  <mergeCells count="2">
    <mergeCell ref="A2:M2"/>
    <mergeCell ref="A1:M1"/>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2026-09-20T10:41:59Z</dcterms:created>
  <dcterms:modified xsi:type="dcterms:W3CDTF">2026-09-20T10:41:59Z</dcterms:modified>
</cp:coreProperties>
</file>