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FmUAQOuDk8jhNLxr-fFVEtiq9FVuJ_4C" TargetMode="External" Id="rId1" /><Relationship Type="http://schemas.openxmlformats.org/officeDocument/2006/relationships/hyperlink" Target="https://drive.google.com/open?id=16TYg9uJKvYWwYtYloA4tpoHkOeCw1rsa" TargetMode="External" Id="rId2" /><Relationship Type="http://schemas.openxmlformats.org/officeDocument/2006/relationships/hyperlink" Target="https://drive.google.com/open?id=1XxPTKjbGQOVXSLbGr6-kCFxRHLpAVIzX" TargetMode="External" Id="rId3" /><Relationship Type="http://schemas.openxmlformats.org/officeDocument/2006/relationships/hyperlink" Target="https://drive.google.com/open?id=1DeePSciayt28YqZaEMwrbWHRbC0FbA8O" TargetMode="External" Id="rId4" /><Relationship Type="http://schemas.openxmlformats.org/officeDocument/2006/relationships/hyperlink" Target="https://drive.google.com/open?id=1LI4NfxlcMbOghe9E-ehcJiMTaqLFxqT0" TargetMode="External" Id="rId5" /></Relationships>
</file>

<file path=xl/worksheets/_rels/sheet4.xml.rels><Relationships xmlns="http://schemas.openxmlformats.org/package/2006/relationships"><Relationship Type="http://schemas.openxmlformats.org/officeDocument/2006/relationships/hyperlink" Target="https://drive.google.com/open?id=1FmUAQOuDk8jhNLxr-fFVEtiq9FVuJ_4C" TargetMode="External" Id="rId1" /><Relationship Type="http://schemas.openxmlformats.org/officeDocument/2006/relationships/hyperlink" Target="https://drive.google.com/open?id=16TYg9uJKvYWwYtYloA4tpoHkOeCw1rsa" TargetMode="External" Id="rId2" /><Relationship Type="http://schemas.openxmlformats.org/officeDocument/2006/relationships/hyperlink" Target="https://drive.google.com/open?id=1XxPTKjbGQOVXSLbGr6-kCFxRHLpAVIzX" TargetMode="External" Id="rId3" /><Relationship Type="http://schemas.openxmlformats.org/officeDocument/2006/relationships/hyperlink" Target="https://drive.google.com/open?id=1DeePSciayt28YqZaEMwrbWHRbC0FbA8O" TargetMode="External" Id="rId4" /><Relationship Type="http://schemas.openxmlformats.org/officeDocument/2006/relationships/hyperlink" Target="https://drive.google.com/open?id=1LI4NfxlcMbOghe9E-ehcJiMTaqLFxqT0" TargetMode="External" Id="rId5" /></Relationships>
</file>

<file path=xl/worksheets/_rels/sheet5.xml.rels><Relationships xmlns="http://schemas.openxmlformats.org/package/2006/relationships"><Relationship Type="http://schemas.openxmlformats.org/officeDocument/2006/relationships/hyperlink" Target="https://drive.google.com/open?id=1FmUAQOuDk8jhNLxr-fFVEtiq9FVuJ_4C" TargetMode="External" Id="rId1" /><Relationship Type="http://schemas.openxmlformats.org/officeDocument/2006/relationships/hyperlink" Target="https://drive.google.com/open?id=16TYg9uJKvYWwYtYloA4tpoHkOeCw1rsa" TargetMode="External" Id="rId2" /><Relationship Type="http://schemas.openxmlformats.org/officeDocument/2006/relationships/hyperlink" Target="https://drive.google.com/open?id=1XxPTKjbGQOVXSLbGr6-kCFxRHLpAVIzX" TargetMode="External" Id="rId3" /><Relationship Type="http://schemas.openxmlformats.org/officeDocument/2006/relationships/hyperlink" Target="https://drive.google.com/open?id=1DeePSciayt28YqZaEMwrbWHRbC0FbA8O" TargetMode="External" Id="rId4" /><Relationship Type="http://schemas.openxmlformats.org/officeDocument/2006/relationships/hyperlink" Target="https://drive.google.com/open?id=1LI4NfxlcMbOghe9E-ehcJiMTaqLFxqT0" TargetMode="External" Id="rId5" /></Relationships>
</file>

<file path=xl/worksheets/_rels/sheet6.xml.rels><Relationships xmlns="http://schemas.openxmlformats.org/package/2006/relationships"><Relationship Type="http://schemas.openxmlformats.org/officeDocument/2006/relationships/hyperlink" Target="https://drive.google.com/open?id=1FmUAQOuDk8jhNLxr-fFVEtiq9FVuJ_4C" TargetMode="External" Id="rId1" /><Relationship Type="http://schemas.openxmlformats.org/officeDocument/2006/relationships/hyperlink" Target="https://drive.google.com/open?id=16TYg9uJKvYWwYtYloA4tpoHkOeCw1rsa" TargetMode="External" Id="rId2" /><Relationship Type="http://schemas.openxmlformats.org/officeDocument/2006/relationships/hyperlink" Target="https://drive.google.com/open?id=1XxPTKjbGQOVXSLbGr6-kCFxRHLpAVIzX" TargetMode="External" Id="rId3" /><Relationship Type="http://schemas.openxmlformats.org/officeDocument/2006/relationships/hyperlink" Target="https://drive.google.com/open?id=1DeePSciayt28YqZaEMwrbWHRbC0FbA8O" TargetMode="External" Id="rId4" /><Relationship Type="http://schemas.openxmlformats.org/officeDocument/2006/relationships/hyperlink" Target="https://drive.google.com/open?id=1LI4NfxlcMbOghe9E-ehcJiMTaqLFxqT0" TargetMode="External" Id="rId5"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TI_3I</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TI_3I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TI_3I - Dosen Pengampu: Habibie Ed Dien, S.Kom.,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Group 4</t>
        </is>
      </c>
      <c r="C7" s="14" t="inlineStr">
        <is>
          <t>Nasywa Qonita Ramadhani Han</t>
        </is>
      </c>
      <c r="D7" s="15" t="inlineStr">
        <is>
          <t>Ketua: Nasywa Qonita Ramadhani Han</t>
        </is>
      </c>
      <c r="E7" s="4" t="inlineStr">
        <is>
          <t>URBANHEAT AI: SPATIO-TEMPORAL PREDICTION OF URBAN HEAT INTENSITY USING MACHINE LEARNING</t>
        </is>
      </c>
      <c r="F7" s="16" t="n"/>
      <c r="G7" s="16" t="n"/>
      <c r="H7" s="16" t="n"/>
      <c r="I7" s="16" t="n"/>
      <c r="J7" s="16" t="n"/>
      <c r="K7" s="16" t="n"/>
      <c r="L7" s="11">
        <f>IF(COUNT(F7:K7)&lt;6,"",SUMPRODUCT(F7:K7,$F$6:$K$6)/SUM($F$6:$K$6)/5*100)</f>
        <v/>
      </c>
      <c r="M7" s="15" t="n"/>
      <c r="N7" s="17" t="inlineStr">
        <is>
          <t>Buka tautan Drive</t>
        </is>
      </c>
    </row>
    <row r="8">
      <c r="A8" s="9" t="n">
        <v>2</v>
      </c>
      <c r="B8" s="14" t="inlineStr">
        <is>
          <t>Super Parking rekomendasi Faiq</t>
        </is>
      </c>
      <c r="C8" s="14" t="inlineStr">
        <is>
          <t>Alif Ahnaf Hendrawan</t>
        </is>
      </c>
      <c r="D8" s="15" t="inlineStr">
        <is>
          <t>Alif Ahnaf Hendrawan (244107020224)
Eiyu Azizuly Efendi (244107020181)
Faiq Razzan Afifie (244107020214)
Nahda Auliya Raudhatunnisa (244107020042)
Zid’Avwa Al Bari’i Malang, 11 September 2026 (244107020083)</t>
        </is>
      </c>
      <c r="E8" s="4" t="inlineStr">
        <is>
          <t>Application for Checking Motorcycle Parking Lot Availability/ParkOps</t>
        </is>
      </c>
      <c r="F8" s="16" t="n"/>
      <c r="G8" s="16" t="n"/>
      <c r="H8" s="16" t="n"/>
      <c r="I8" s="16" t="n"/>
      <c r="J8" s="16" t="n"/>
      <c r="K8" s="16" t="n"/>
      <c r="L8" s="11">
        <f>IF(COUNT(F8:K8)&lt;6,"",SUMPRODUCT(F8:K8,$F$6:$K$6)/SUM($F$6:$K$6)/5*100)</f>
        <v/>
      </c>
      <c r="M8" s="15" t="n"/>
      <c r="N8" s="17" t="inlineStr">
        <is>
          <t>Buka tautan Drive</t>
        </is>
      </c>
    </row>
    <row r="9">
      <c r="A9" s="9" t="n">
        <v>3</v>
      </c>
      <c r="B9" s="14" t="inlineStr">
        <is>
          <t>Berseri-seri</t>
        </is>
      </c>
      <c r="C9" s="14" t="inlineStr">
        <is>
          <t>Aulia Resty Azizah</t>
        </is>
      </c>
      <c r="D9" s="15" t="inlineStr">
        <is>
          <t>Ketua: Aulia Resty Azizah</t>
        </is>
      </c>
      <c r="E9" s="4" t="inlineStr">
        <is>
          <t>Berseri: Mobile-Based Skin Type &amp; Condition Analysis with Ingredient Recommendations</t>
        </is>
      </c>
      <c r="F9" s="16" t="n"/>
      <c r="G9" s="16" t="n"/>
      <c r="H9" s="16" t="n"/>
      <c r="I9" s="16" t="n"/>
      <c r="J9" s="16" t="n"/>
      <c r="K9" s="16" t="n"/>
      <c r="L9" s="11">
        <f>IF(COUNT(F9:K9)&lt;6,"",SUMPRODUCT(F9:K9,$F$6:$K$6)/SUM($F$6:$K$6)/5*100)</f>
        <v/>
      </c>
      <c r="M9" s="15" t="n"/>
      <c r="N9" s="17" t="inlineStr">
        <is>
          <t>Buka tautan Drive</t>
        </is>
      </c>
    </row>
    <row r="10">
      <c r="A10" s="9" t="n">
        <v>4</v>
      </c>
      <c r="B10" s="14" t="inlineStr">
        <is>
          <t>Group 5</t>
        </is>
      </c>
      <c r="C10" s="14" t="inlineStr">
        <is>
          <t>Tiara Febrianie</t>
        </is>
      </c>
      <c r="D10" s="15" t="inlineStr">
        <is>
          <t>Ketua: Tiara Febrianie</t>
        </is>
      </c>
      <c r="E10" s="4" t="inlineStr">
        <is>
          <t>THRIFTY - Location-Based Secondhand Fashion Marketplace with AI-Powered Clothing Condition Grading</t>
        </is>
      </c>
      <c r="F10" s="16" t="n"/>
      <c r="G10" s="16" t="n"/>
      <c r="H10" s="16" t="n"/>
      <c r="I10" s="16" t="n"/>
      <c r="J10" s="16" t="n"/>
      <c r="K10" s="16" t="n"/>
      <c r="L10" s="11">
        <f>IF(COUNT(F10:K10)&lt;6,"",SUMPRODUCT(F10:K10,$F$6:$K$6)/SUM($F$6:$K$6)/5*100)</f>
        <v/>
      </c>
      <c r="M10" s="15" t="n"/>
      <c r="N10" s="17" t="inlineStr">
        <is>
          <t>Buka tautan Drive</t>
        </is>
      </c>
    </row>
    <row r="11">
      <c r="A11" s="9" t="n">
        <v>5</v>
      </c>
      <c r="B11" s="14" t="inlineStr">
        <is>
          <t>Tatuti Team</t>
        </is>
      </c>
      <c r="C11" s="14" t="inlineStr">
        <is>
          <t>Excell Christian Wulantoro Sadik</t>
        </is>
      </c>
      <c r="D11" s="15" t="inlineStr">
        <is>
          <t>Ketua: Excell Christian Wulantoro Sadik</t>
        </is>
      </c>
      <c r="E11" s="4" t="inlineStr">
        <is>
          <t>SikatBosku!</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TI_3I - Dosen Pengampu: Muhammad Afif Hendrawan., S.Kom.,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Group 4</t>
        </is>
      </c>
      <c r="C7" s="14" t="inlineStr">
        <is>
          <t>Nasywa Qonita Ramadhani Han</t>
        </is>
      </c>
      <c r="D7" s="15" t="inlineStr">
        <is>
          <t>Ketua: Nasywa Qonita Ramadhani Han</t>
        </is>
      </c>
      <c r="E7" s="4" t="inlineStr">
        <is>
          <t>URBANHEAT AI: SPATIO-TEMPORAL PREDICTION OF URBAN HEAT INTENSITY USING MACHINE LEARNING</t>
        </is>
      </c>
      <c r="F7" s="16" t="n"/>
      <c r="G7" s="16" t="n"/>
      <c r="H7" s="16" t="n"/>
      <c r="I7" s="16" t="n"/>
      <c r="J7" s="16" t="n"/>
      <c r="K7" s="16" t="n"/>
      <c r="L7" s="11">
        <f>IF(COUNT(F7:K7)&lt;6,"",SUMPRODUCT(F7:K7,$F$6:$K$6)/SUM($F$6:$K$6)/5*100)</f>
        <v/>
      </c>
      <c r="M7" s="15" t="n"/>
      <c r="N7" s="17" t="inlineStr">
        <is>
          <t>Buka tautan Drive</t>
        </is>
      </c>
    </row>
    <row r="8">
      <c r="A8" s="9" t="n">
        <v>2</v>
      </c>
      <c r="B8" s="14" t="inlineStr">
        <is>
          <t>Super Parking rekomendasi Faiq</t>
        </is>
      </c>
      <c r="C8" s="14" t="inlineStr">
        <is>
          <t>Alif Ahnaf Hendrawan</t>
        </is>
      </c>
      <c r="D8" s="15" t="inlineStr">
        <is>
          <t>Alif Ahnaf Hendrawan (244107020224)
Eiyu Azizuly Efendi (244107020181)
Faiq Razzan Afifie (244107020214)
Nahda Auliya Raudhatunnisa (244107020042)
Zid’Avwa Al Bari’i Malang, 11 September 2026 (244107020083)</t>
        </is>
      </c>
      <c r="E8" s="4" t="inlineStr">
        <is>
          <t>Application for Checking Motorcycle Parking Lot Availability/ParkOps</t>
        </is>
      </c>
      <c r="F8" s="16" t="n"/>
      <c r="G8" s="16" t="n"/>
      <c r="H8" s="16" t="n"/>
      <c r="I8" s="16" t="n"/>
      <c r="J8" s="16" t="n"/>
      <c r="K8" s="16" t="n"/>
      <c r="L8" s="11">
        <f>IF(COUNT(F8:K8)&lt;6,"",SUMPRODUCT(F8:K8,$F$6:$K$6)/SUM($F$6:$K$6)/5*100)</f>
        <v/>
      </c>
      <c r="M8" s="15" t="n"/>
      <c r="N8" s="17" t="inlineStr">
        <is>
          <t>Buka tautan Drive</t>
        </is>
      </c>
    </row>
    <row r="9">
      <c r="A9" s="9" t="n">
        <v>3</v>
      </c>
      <c r="B9" s="14" t="inlineStr">
        <is>
          <t>Berseri-seri</t>
        </is>
      </c>
      <c r="C9" s="14" t="inlineStr">
        <is>
          <t>Aulia Resty Azizah</t>
        </is>
      </c>
      <c r="D9" s="15" t="inlineStr">
        <is>
          <t>Ketua: Aulia Resty Azizah</t>
        </is>
      </c>
      <c r="E9" s="4" t="inlineStr">
        <is>
          <t>Berseri: Mobile-Based Skin Type &amp; Condition Analysis with Ingredient Recommendations</t>
        </is>
      </c>
      <c r="F9" s="16" t="n"/>
      <c r="G9" s="16" t="n"/>
      <c r="H9" s="16" t="n"/>
      <c r="I9" s="16" t="n"/>
      <c r="J9" s="16" t="n"/>
      <c r="K9" s="16" t="n"/>
      <c r="L9" s="11">
        <f>IF(COUNT(F9:K9)&lt;6,"",SUMPRODUCT(F9:K9,$F$6:$K$6)/SUM($F$6:$K$6)/5*100)</f>
        <v/>
      </c>
      <c r="M9" s="15" t="n"/>
      <c r="N9" s="17" t="inlineStr">
        <is>
          <t>Buka tautan Drive</t>
        </is>
      </c>
    </row>
    <row r="10">
      <c r="A10" s="9" t="n">
        <v>4</v>
      </c>
      <c r="B10" s="14" t="inlineStr">
        <is>
          <t>Group 5</t>
        </is>
      </c>
      <c r="C10" s="14" t="inlineStr">
        <is>
          <t>Tiara Febrianie</t>
        </is>
      </c>
      <c r="D10" s="15" t="inlineStr">
        <is>
          <t>Ketua: Tiara Febrianie</t>
        </is>
      </c>
      <c r="E10" s="4" t="inlineStr">
        <is>
          <t>THRIFTY - Location-Based Secondhand Fashion Marketplace with AI-Powered Clothing Condition Grading</t>
        </is>
      </c>
      <c r="F10" s="16" t="n"/>
      <c r="G10" s="16" t="n"/>
      <c r="H10" s="16" t="n"/>
      <c r="I10" s="16" t="n"/>
      <c r="J10" s="16" t="n"/>
      <c r="K10" s="16" t="n"/>
      <c r="L10" s="11">
        <f>IF(COUNT(F10:K10)&lt;6,"",SUMPRODUCT(F10:K10,$F$6:$K$6)/SUM($F$6:$K$6)/5*100)</f>
        <v/>
      </c>
      <c r="M10" s="15" t="n"/>
      <c r="N10" s="17" t="inlineStr">
        <is>
          <t>Buka tautan Drive</t>
        </is>
      </c>
    </row>
    <row r="11">
      <c r="A11" s="9" t="n">
        <v>5</v>
      </c>
      <c r="B11" s="14" t="inlineStr">
        <is>
          <t>Tatuti Team</t>
        </is>
      </c>
      <c r="C11" s="14" t="inlineStr">
        <is>
          <t>Excell Christian Wulantoro Sadik</t>
        </is>
      </c>
      <c r="D11" s="15" t="inlineStr">
        <is>
          <t>Ketua: Excell Christian Wulantoro Sadik</t>
        </is>
      </c>
      <c r="E11" s="4" t="inlineStr">
        <is>
          <t>SikatBosku!</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TI_3I - Dosen Pengampu: M. Hasyim Ratsanjani,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Group 4</t>
        </is>
      </c>
      <c r="C7" s="14" t="inlineStr">
        <is>
          <t>Nasywa Qonita Ramadhani Han</t>
        </is>
      </c>
      <c r="D7" s="15" t="inlineStr">
        <is>
          <t>Ketua: Nasywa Qonita Ramadhani Han</t>
        </is>
      </c>
      <c r="E7" s="4" t="inlineStr">
        <is>
          <t>URBANHEAT AI: SPATIO-TEMPORAL PREDICTION OF URBAN HEAT INTENSITY USING MACHINE LEARNING</t>
        </is>
      </c>
      <c r="F7" s="16" t="n"/>
      <c r="G7" s="16" t="n"/>
      <c r="H7" s="16" t="n"/>
      <c r="I7" s="16" t="n"/>
      <c r="J7" s="16" t="n"/>
      <c r="K7" s="16" t="n"/>
      <c r="L7" s="11">
        <f>IF(COUNT(F7:K7)&lt;6,"",SUMPRODUCT(F7:K7,$F$6:$K$6)/SUM($F$6:$K$6)/5*100)</f>
        <v/>
      </c>
      <c r="M7" s="15" t="n"/>
      <c r="N7" s="17" t="inlineStr">
        <is>
          <t>Buka tautan Drive</t>
        </is>
      </c>
    </row>
    <row r="8">
      <c r="A8" s="9" t="n">
        <v>2</v>
      </c>
      <c r="B8" s="14" t="inlineStr">
        <is>
          <t>Super Parking rekomendasi Faiq</t>
        </is>
      </c>
      <c r="C8" s="14" t="inlineStr">
        <is>
          <t>Alif Ahnaf Hendrawan</t>
        </is>
      </c>
      <c r="D8" s="15" t="inlineStr">
        <is>
          <t>Alif Ahnaf Hendrawan (244107020224)
Eiyu Azizuly Efendi (244107020181)
Faiq Razzan Afifie (244107020214)
Nahda Auliya Raudhatunnisa (244107020042)
Zid’Avwa Al Bari’i Malang, 11 September 2026 (244107020083)</t>
        </is>
      </c>
      <c r="E8" s="4" t="inlineStr">
        <is>
          <t>Application for Checking Motorcycle Parking Lot Availability/ParkOps</t>
        </is>
      </c>
      <c r="F8" s="16" t="n"/>
      <c r="G8" s="16" t="n"/>
      <c r="H8" s="16" t="n"/>
      <c r="I8" s="16" t="n"/>
      <c r="J8" s="16" t="n"/>
      <c r="K8" s="16" t="n"/>
      <c r="L8" s="11">
        <f>IF(COUNT(F8:K8)&lt;6,"",SUMPRODUCT(F8:K8,$F$6:$K$6)/SUM($F$6:$K$6)/5*100)</f>
        <v/>
      </c>
      <c r="M8" s="15" t="n"/>
      <c r="N8" s="17" t="inlineStr">
        <is>
          <t>Buka tautan Drive</t>
        </is>
      </c>
    </row>
    <row r="9">
      <c r="A9" s="9" t="n">
        <v>3</v>
      </c>
      <c r="B9" s="14" t="inlineStr">
        <is>
          <t>Berseri-seri</t>
        </is>
      </c>
      <c r="C9" s="14" t="inlineStr">
        <is>
          <t>Aulia Resty Azizah</t>
        </is>
      </c>
      <c r="D9" s="15" t="inlineStr">
        <is>
          <t>Ketua: Aulia Resty Azizah</t>
        </is>
      </c>
      <c r="E9" s="4" t="inlineStr">
        <is>
          <t>Berseri: Mobile-Based Skin Type &amp; Condition Analysis with Ingredient Recommendations</t>
        </is>
      </c>
      <c r="F9" s="16" t="n"/>
      <c r="G9" s="16" t="n"/>
      <c r="H9" s="16" t="n"/>
      <c r="I9" s="16" t="n"/>
      <c r="J9" s="16" t="n"/>
      <c r="K9" s="16" t="n"/>
      <c r="L9" s="11">
        <f>IF(COUNT(F9:K9)&lt;6,"",SUMPRODUCT(F9:K9,$F$6:$K$6)/SUM($F$6:$K$6)/5*100)</f>
        <v/>
      </c>
      <c r="M9" s="15" t="n"/>
      <c r="N9" s="17" t="inlineStr">
        <is>
          <t>Buka tautan Drive</t>
        </is>
      </c>
    </row>
    <row r="10">
      <c r="A10" s="9" t="n">
        <v>4</v>
      </c>
      <c r="B10" s="14" t="inlineStr">
        <is>
          <t>Group 5</t>
        </is>
      </c>
      <c r="C10" s="14" t="inlineStr">
        <is>
          <t>Tiara Febrianie</t>
        </is>
      </c>
      <c r="D10" s="15" t="inlineStr">
        <is>
          <t>Ketua: Tiara Febrianie</t>
        </is>
      </c>
      <c r="E10" s="4" t="inlineStr">
        <is>
          <t>THRIFTY - Location-Based Secondhand Fashion Marketplace with AI-Powered Clothing Condition Grading</t>
        </is>
      </c>
      <c r="F10" s="16" t="n"/>
      <c r="G10" s="16" t="n"/>
      <c r="H10" s="16" t="n"/>
      <c r="I10" s="16" t="n"/>
      <c r="J10" s="16" t="n"/>
      <c r="K10" s="16" t="n"/>
      <c r="L10" s="11">
        <f>IF(COUNT(F10:K10)&lt;6,"",SUMPRODUCT(F10:K10,$F$6:$K$6)/SUM($F$6:$K$6)/5*100)</f>
        <v/>
      </c>
      <c r="M10" s="15" t="n"/>
      <c r="N10" s="17" t="inlineStr">
        <is>
          <t>Buka tautan Drive</t>
        </is>
      </c>
    </row>
    <row r="11">
      <c r="A11" s="9" t="n">
        <v>5</v>
      </c>
      <c r="B11" s="14" t="inlineStr">
        <is>
          <t>Tatuti Team</t>
        </is>
      </c>
      <c r="C11" s="14" t="inlineStr">
        <is>
          <t>Excell Christian Wulantoro Sadik</t>
        </is>
      </c>
      <c r="D11" s="15" t="inlineStr">
        <is>
          <t>Ketua: Excell Christian Wulantoro Sadik</t>
        </is>
      </c>
      <c r="E11" s="4" t="inlineStr">
        <is>
          <t>SikatBosku!</t>
        </is>
      </c>
      <c r="F11" s="16" t="n"/>
      <c r="G11" s="16" t="n"/>
      <c r="H11" s="16" t="n"/>
      <c r="I11" s="16" t="n"/>
      <c r="J11" s="16" t="n"/>
      <c r="K11" s="16" t="n"/>
      <c r="L11" s="11">
        <f>IF(COUNT(F11:K11)&lt;6,"",SUMPRODUCT(F11:K11,$F$6:$K$6)/SUM($F$6:$K$6)/5*100)</f>
        <v/>
      </c>
      <c r="M11" s="15" t="n"/>
      <c r="N11" s="17" t="inlineStr">
        <is>
          <t>Buka tautan Drive</t>
        </is>
      </c>
    </row>
  </sheetData>
  <mergeCells count="3">
    <mergeCell ref="A4:N4"/>
    <mergeCell ref="A2:N2"/>
    <mergeCell ref="A1:N1"/>
  </mergeCells>
  <dataValidations count="1">
    <dataValidation sqref="F7 F8 F9 F10 F11 G7 G8 G9 G10 G11 H7 H8 H9 H10 H11 I7 I8 I9 I10 I11 J7 J8 J9 J10 J11 K7 K8 K9 K10 K11"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TI_3I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n">
        <v>1</v>
      </c>
      <c r="B5" s="14" t="inlineStr">
        <is>
          <t>Group 4</t>
        </is>
      </c>
      <c r="C5" s="14" t="inlineStr">
        <is>
          <t>Nasywa Qonita Ramadhani Han</t>
        </is>
      </c>
      <c r="D5" s="4">
        <f>'Pemrograman Mobile'!D7</f>
        <v/>
      </c>
      <c r="E5" s="4" t="inlineStr">
        <is>
          <t>URBANHEAT AI: SPATIO-TEMPORAL PREDICTION OF URBAN HEAT INTENSITY USING MACHINE LEARNING</t>
        </is>
      </c>
      <c r="F5" s="11">
        <f>'Pemrograman Mobile'!L7</f>
        <v/>
      </c>
      <c r="G5" s="4">
        <f>'Pemrograman Mobile'!M7</f>
        <v/>
      </c>
      <c r="H5" s="11">
        <f>'Pembelajaran Mesin'!L7</f>
        <v/>
      </c>
      <c r="I5" s="4">
        <f>'Pembelajaran Mesin'!M7</f>
        <v/>
      </c>
      <c r="J5" s="11">
        <f>'Penjaminan Mutu Perangkat Lunak'!L7</f>
        <v/>
      </c>
      <c r="K5" s="4">
        <f>'Penjaminan Mutu Perangkat Lunak'!M7</f>
        <v/>
      </c>
      <c r="L5" s="11">
        <f>IFERROR(AVERAGE(F5,H5,J5),"")</f>
        <v/>
      </c>
      <c r="M5" s="17" t="inlineStr">
        <is>
          <t>Buka tautan Drive</t>
        </is>
      </c>
    </row>
    <row r="6">
      <c r="A6" s="9" t="n">
        <v>2</v>
      </c>
      <c r="B6" s="14" t="inlineStr">
        <is>
          <t>Super Parking rekomendasi Faiq</t>
        </is>
      </c>
      <c r="C6" s="14" t="inlineStr">
        <is>
          <t>Alif Ahnaf Hendrawan</t>
        </is>
      </c>
      <c r="D6" s="4">
        <f>'Pemrograman Mobile'!D8</f>
        <v/>
      </c>
      <c r="E6" s="4" t="inlineStr">
        <is>
          <t>Application for Checking Motorcycle Parking Lot Availability/ParkOps</t>
        </is>
      </c>
      <c r="F6" s="11">
        <f>'Pemrograman Mobile'!L8</f>
        <v/>
      </c>
      <c r="G6" s="4">
        <f>'Pemrograman Mobile'!M8</f>
        <v/>
      </c>
      <c r="H6" s="11">
        <f>'Pembelajaran Mesin'!L8</f>
        <v/>
      </c>
      <c r="I6" s="4">
        <f>'Pembelajaran Mesin'!M8</f>
        <v/>
      </c>
      <c r="J6" s="11">
        <f>'Penjaminan Mutu Perangkat Lunak'!L8</f>
        <v/>
      </c>
      <c r="K6" s="4">
        <f>'Penjaminan Mutu Perangkat Lunak'!M8</f>
        <v/>
      </c>
      <c r="L6" s="11">
        <f>IFERROR(AVERAGE(F6,H6,J6),"")</f>
        <v/>
      </c>
      <c r="M6" s="17" t="inlineStr">
        <is>
          <t>Buka tautan Drive</t>
        </is>
      </c>
    </row>
    <row r="7">
      <c r="A7" s="9" t="n">
        <v>3</v>
      </c>
      <c r="B7" s="14" t="inlineStr">
        <is>
          <t>Berseri-seri</t>
        </is>
      </c>
      <c r="C7" s="14" t="inlineStr">
        <is>
          <t>Aulia Resty Azizah</t>
        </is>
      </c>
      <c r="D7" s="4">
        <f>'Pemrograman Mobile'!D9</f>
        <v/>
      </c>
      <c r="E7" s="4" t="inlineStr">
        <is>
          <t>Berseri: Mobile-Based Skin Type &amp; Condition Analysis with Ingredient Recommendations</t>
        </is>
      </c>
      <c r="F7" s="11">
        <f>'Pemrograman Mobile'!L9</f>
        <v/>
      </c>
      <c r="G7" s="4">
        <f>'Pemrograman Mobile'!M9</f>
        <v/>
      </c>
      <c r="H7" s="11">
        <f>'Pembelajaran Mesin'!L9</f>
        <v/>
      </c>
      <c r="I7" s="4">
        <f>'Pembelajaran Mesin'!M9</f>
        <v/>
      </c>
      <c r="J7" s="11">
        <f>'Penjaminan Mutu Perangkat Lunak'!L9</f>
        <v/>
      </c>
      <c r="K7" s="4">
        <f>'Penjaminan Mutu Perangkat Lunak'!M9</f>
        <v/>
      </c>
      <c r="L7" s="11">
        <f>IFERROR(AVERAGE(F7,H7,J7),"")</f>
        <v/>
      </c>
      <c r="M7" s="17" t="inlineStr">
        <is>
          <t>Buka tautan Drive</t>
        </is>
      </c>
    </row>
    <row r="8">
      <c r="A8" s="9" t="n">
        <v>4</v>
      </c>
      <c r="B8" s="14" t="inlineStr">
        <is>
          <t>Group 5</t>
        </is>
      </c>
      <c r="C8" s="14" t="inlineStr">
        <is>
          <t>Tiara Febrianie</t>
        </is>
      </c>
      <c r="D8" s="4">
        <f>'Pemrograman Mobile'!D10</f>
        <v/>
      </c>
      <c r="E8" s="4" t="inlineStr">
        <is>
          <t>THRIFTY - Location-Based Secondhand Fashion Marketplace with AI-Powered Clothing Condition Grading</t>
        </is>
      </c>
      <c r="F8" s="11">
        <f>'Pemrograman Mobile'!L10</f>
        <v/>
      </c>
      <c r="G8" s="4">
        <f>'Pemrograman Mobile'!M10</f>
        <v/>
      </c>
      <c r="H8" s="11">
        <f>'Pembelajaran Mesin'!L10</f>
        <v/>
      </c>
      <c r="I8" s="4">
        <f>'Pembelajaran Mesin'!M10</f>
        <v/>
      </c>
      <c r="J8" s="11">
        <f>'Penjaminan Mutu Perangkat Lunak'!L10</f>
        <v/>
      </c>
      <c r="K8" s="4">
        <f>'Penjaminan Mutu Perangkat Lunak'!M10</f>
        <v/>
      </c>
      <c r="L8" s="11">
        <f>IFERROR(AVERAGE(F8,H8,J8),"")</f>
        <v/>
      </c>
      <c r="M8" s="17" t="inlineStr">
        <is>
          <t>Buka tautan Drive</t>
        </is>
      </c>
    </row>
    <row r="9">
      <c r="A9" s="9" t="n">
        <v>5</v>
      </c>
      <c r="B9" s="14" t="inlineStr">
        <is>
          <t>Tatuti Team</t>
        </is>
      </c>
      <c r="C9" s="14" t="inlineStr">
        <is>
          <t>Excell Christian Wulantoro Sadik</t>
        </is>
      </c>
      <c r="D9" s="4">
        <f>'Pemrograman Mobile'!D11</f>
        <v/>
      </c>
      <c r="E9" s="4" t="inlineStr">
        <is>
          <t>SikatBosku!</t>
        </is>
      </c>
      <c r="F9" s="11">
        <f>'Pemrograman Mobile'!L11</f>
        <v/>
      </c>
      <c r="G9" s="4">
        <f>'Pemrograman Mobile'!M11</f>
        <v/>
      </c>
      <c r="H9" s="11">
        <f>'Pembelajaran Mesin'!L11</f>
        <v/>
      </c>
      <c r="I9" s="4">
        <f>'Pembelajaran Mesin'!M11</f>
        <v/>
      </c>
      <c r="J9" s="11">
        <f>'Penjaminan Mutu Perangkat Lunak'!L11</f>
        <v/>
      </c>
      <c r="K9" s="4">
        <f>'Penjaminan Mutu Perangkat Lunak'!M11</f>
        <v/>
      </c>
      <c r="L9" s="11">
        <f>IFERROR(AVERAGE(F9,H9,J9),"")</f>
        <v/>
      </c>
      <c r="M9" s="17" t="inlineStr">
        <is>
          <t>Buka tautan Drive</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2026-09-20T10:42:00Z</dcterms:created>
  <dcterms:modified xsi:type="dcterms:W3CDTF">2026-09-20T10:42:00Z</dcterms:modified>
</cp:coreProperties>
</file>