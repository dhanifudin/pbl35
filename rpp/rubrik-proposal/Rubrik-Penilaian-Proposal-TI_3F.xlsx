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8mvk13RFPI6UKdlXlutEu4Qe8z_8Wz2h" TargetMode="External" Id="rId1" /><Relationship Type="http://schemas.openxmlformats.org/officeDocument/2006/relationships/hyperlink" Target="https://drive.google.com/open?id=1c_rLafubZ9P-xLtLqxuBPhcLvNNutfAi" TargetMode="External" Id="rId2" /><Relationship Type="http://schemas.openxmlformats.org/officeDocument/2006/relationships/hyperlink" Target="https://drive.google.com/open?id=1GNT3a4-OGtCTcao1sE5w7QM6c2g8rosO" TargetMode="External" Id="rId3" /><Relationship Type="http://schemas.openxmlformats.org/officeDocument/2006/relationships/hyperlink" Target="https://drive.google.com/open?id=1EY_h4YGnUV4NDls4OF9U8tZ5hbCibqGs" TargetMode="External" Id="rId4" /><Relationship Type="http://schemas.openxmlformats.org/officeDocument/2006/relationships/hyperlink" Target="https://drive.google.com/open?id=10Vi5lSM8eOX1fsTaoJzQ_ymX5AKfxOj5" TargetMode="External" Id="rId5" /></Relationships>
</file>

<file path=xl/worksheets/_rels/sheet4.xml.rels><Relationships xmlns="http://schemas.openxmlformats.org/package/2006/relationships"><Relationship Type="http://schemas.openxmlformats.org/officeDocument/2006/relationships/hyperlink" Target="https://drive.google.com/open?id=18mvk13RFPI6UKdlXlutEu4Qe8z_8Wz2h" TargetMode="External" Id="rId1" /><Relationship Type="http://schemas.openxmlformats.org/officeDocument/2006/relationships/hyperlink" Target="https://drive.google.com/open?id=1c_rLafubZ9P-xLtLqxuBPhcLvNNutfAi" TargetMode="External" Id="rId2" /><Relationship Type="http://schemas.openxmlformats.org/officeDocument/2006/relationships/hyperlink" Target="https://drive.google.com/open?id=1GNT3a4-OGtCTcao1sE5w7QM6c2g8rosO" TargetMode="External" Id="rId3" /><Relationship Type="http://schemas.openxmlformats.org/officeDocument/2006/relationships/hyperlink" Target="https://drive.google.com/open?id=1EY_h4YGnUV4NDls4OF9U8tZ5hbCibqGs" TargetMode="External" Id="rId4" /><Relationship Type="http://schemas.openxmlformats.org/officeDocument/2006/relationships/hyperlink" Target="https://drive.google.com/open?id=10Vi5lSM8eOX1fsTaoJzQ_ymX5AKfxOj5" TargetMode="External" Id="rId5" /></Relationships>
</file>

<file path=xl/worksheets/_rels/sheet5.xml.rels><Relationships xmlns="http://schemas.openxmlformats.org/package/2006/relationships"><Relationship Type="http://schemas.openxmlformats.org/officeDocument/2006/relationships/hyperlink" Target="https://drive.google.com/open?id=18mvk13RFPI6UKdlXlutEu4Qe8z_8Wz2h" TargetMode="External" Id="rId1" /><Relationship Type="http://schemas.openxmlformats.org/officeDocument/2006/relationships/hyperlink" Target="https://drive.google.com/open?id=1c_rLafubZ9P-xLtLqxuBPhcLvNNutfAi" TargetMode="External" Id="rId2" /><Relationship Type="http://schemas.openxmlformats.org/officeDocument/2006/relationships/hyperlink" Target="https://drive.google.com/open?id=1GNT3a4-OGtCTcao1sE5w7QM6c2g8rosO" TargetMode="External" Id="rId3" /><Relationship Type="http://schemas.openxmlformats.org/officeDocument/2006/relationships/hyperlink" Target="https://drive.google.com/open?id=1EY_h4YGnUV4NDls4OF9U8tZ5hbCibqGs" TargetMode="External" Id="rId4" /><Relationship Type="http://schemas.openxmlformats.org/officeDocument/2006/relationships/hyperlink" Target="https://drive.google.com/open?id=10Vi5lSM8eOX1fsTaoJzQ_ymX5AKfxOj5" TargetMode="External" Id="rId5" /></Relationships>
</file>

<file path=xl/worksheets/_rels/sheet6.xml.rels><Relationships xmlns="http://schemas.openxmlformats.org/package/2006/relationships"><Relationship Type="http://schemas.openxmlformats.org/officeDocument/2006/relationships/hyperlink" Target="https://drive.google.com/open?id=18mvk13RFPI6UKdlXlutEu4Qe8z_8Wz2h" TargetMode="External" Id="rId1" /><Relationship Type="http://schemas.openxmlformats.org/officeDocument/2006/relationships/hyperlink" Target="https://drive.google.com/open?id=1c_rLafubZ9P-xLtLqxuBPhcLvNNutfAi" TargetMode="External" Id="rId2" /><Relationship Type="http://schemas.openxmlformats.org/officeDocument/2006/relationships/hyperlink" Target="https://drive.google.com/open?id=1GNT3a4-OGtCTcao1sE5w7QM6c2g8rosO" TargetMode="External" Id="rId3" /><Relationship Type="http://schemas.openxmlformats.org/officeDocument/2006/relationships/hyperlink" Target="https://drive.google.com/open?id=1EY_h4YGnUV4NDls4OF9U8tZ5hbCibqGs" TargetMode="External" Id="rId4" /><Relationship Type="http://schemas.openxmlformats.org/officeDocument/2006/relationships/hyperlink" Target="https://drive.google.com/open?id=10Vi5lSM8eOX1fsTaoJzQ_ymX5AKfxOj5"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TI_3F</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TI_3F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TI_3F - Dosen Pengampu: Agung Nugroho Pramudhita, S.T.,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5</t>
        </is>
      </c>
      <c r="C7" s="14" t="inlineStr">
        <is>
          <t>Najla Nuricia Laudy</t>
        </is>
      </c>
      <c r="D7" s="15" t="inlineStr">
        <is>
          <t>Ketua: Najla Nuricia Laudy</t>
        </is>
      </c>
      <c r="E7" s="4" t="inlineStr">
        <is>
          <t>Hadir.in Presensi Mahasiswa Menggunakan Face Recognition</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Nabhan Rizqi Julian Saputro</t>
        </is>
      </c>
      <c r="D8" s="15" t="inlineStr">
        <is>
          <t>Arifah Zhafirah Wikananda (244107020188)
Athaulla Hafizh (244107020030)
Mokhammad Ilham Putra Wijaya Nabhan Rizqi Julian Saputro (244107020139)
Nevita Ttriya Yuliana (244107020208)</t>
        </is>
      </c>
      <c r="E8" s="4" t="inlineStr">
        <is>
          <t>Kenali Batikmu</t>
        </is>
      </c>
      <c r="F8" s="16" t="n"/>
      <c r="G8" s="16" t="n"/>
      <c r="H8" s="16" t="n"/>
      <c r="I8" s="16" t="n"/>
      <c r="J8" s="16" t="n"/>
      <c r="K8" s="16" t="n"/>
      <c r="L8" s="11">
        <f>IF(COUNT(F8:K8)&lt;6,"",SUMPRODUCT(F8:K8,$F$6:$K$6)/SUM($F$6:$K$6)/5*100)</f>
        <v/>
      </c>
      <c r="M8" s="15" t="n"/>
      <c r="N8" s="17" t="inlineStr">
        <is>
          <t>Buka tautan Drive</t>
        </is>
      </c>
    </row>
    <row r="9">
      <c r="A9" s="9" t="n">
        <v>3</v>
      </c>
      <c r="B9" s="14" t="inlineStr">
        <is>
          <t>Capsee</t>
        </is>
      </c>
      <c r="C9" s="14" t="inlineStr">
        <is>
          <t>Mohamat Fauzi Rohman</t>
        </is>
      </c>
      <c r="D9" s="15" t="inlineStr">
        <is>
          <t>Ketua: Mohamat Fauzi Rohman</t>
        </is>
      </c>
      <c r="E9" s="4" t="inlineStr">
        <is>
          <t>Aplikasi Mobile Monitoring dan Deteksi Kondisi Tanaman Cabai Pasca Berbunga Berbasis Machine Learning</t>
        </is>
      </c>
      <c r="F9" s="16" t="n"/>
      <c r="G9" s="16" t="n"/>
      <c r="H9" s="16" t="n"/>
      <c r="I9" s="16" t="n"/>
      <c r="J9" s="16" t="n"/>
      <c r="K9" s="16" t="n"/>
      <c r="L9" s="11">
        <f>IF(COUNT(F9:K9)&lt;6,"",SUMPRODUCT(F9:K9,$F$6:$K$6)/SUM($F$6:$K$6)/5*100)</f>
        <v/>
      </c>
      <c r="M9" s="15" t="n"/>
      <c r="N9" s="17" t="inlineStr">
        <is>
          <t>Buka tautan Drive</t>
        </is>
      </c>
    </row>
    <row r="10">
      <c r="A10" s="9" t="n">
        <v>4</v>
      </c>
      <c r="B10" s="14" t="inlineStr">
        <is>
          <t>Paroecy</t>
        </is>
      </c>
      <c r="C10" s="14" t="inlineStr">
        <is>
          <t>Abdul Ghofur Almiqbadi</t>
        </is>
      </c>
      <c r="D10" s="15" t="inlineStr">
        <is>
          <t>Ketua: Abdul Ghofur Almiqbadi</t>
        </is>
      </c>
      <c r="E10" s="4" t="inlineStr">
        <is>
          <t>Sign.L</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2</t>
        </is>
      </c>
      <c r="C11" s="14" t="inlineStr">
        <is>
          <t>Moch. Adam Arsyad Faizin</t>
        </is>
      </c>
      <c r="D11" s="15" t="inlineStr">
        <is>
          <t>Anthea Amodia Syaffah A (244107020024)
Moch. Adam Arsyad F (244107020104)
Bintang Pancahaya P (244107020115)
Muchammad Ibrahim A. A (244107020062)
Rafazl Radana D (244107020082)</t>
        </is>
      </c>
      <c r="E11" s="4" t="inlineStr">
        <is>
          <t>SkinSight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TI_3F - Dosen Pengampu: Muhammad Afif Hendrawan.,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5</t>
        </is>
      </c>
      <c r="C7" s="14" t="inlineStr">
        <is>
          <t>Najla Nuricia Laudy</t>
        </is>
      </c>
      <c r="D7" s="15" t="inlineStr">
        <is>
          <t>Ketua: Najla Nuricia Laudy</t>
        </is>
      </c>
      <c r="E7" s="4" t="inlineStr">
        <is>
          <t>Hadir.in Presensi Mahasiswa Menggunakan Face Recognition</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Nabhan Rizqi Julian Saputro</t>
        </is>
      </c>
      <c r="D8" s="15" t="inlineStr">
        <is>
          <t>Arifah Zhafirah Wikananda (244107020188)
Athaulla Hafizh (244107020030)
Mokhammad Ilham Putra Wijaya Nabhan Rizqi Julian Saputro (244107020139)
Nevita Ttriya Yuliana (244107020208)</t>
        </is>
      </c>
      <c r="E8" s="4" t="inlineStr">
        <is>
          <t>Kenali Batikmu</t>
        </is>
      </c>
      <c r="F8" s="16" t="n"/>
      <c r="G8" s="16" t="n"/>
      <c r="H8" s="16" t="n"/>
      <c r="I8" s="16" t="n"/>
      <c r="J8" s="16" t="n"/>
      <c r="K8" s="16" t="n"/>
      <c r="L8" s="11">
        <f>IF(COUNT(F8:K8)&lt;6,"",SUMPRODUCT(F8:K8,$F$6:$K$6)/SUM($F$6:$K$6)/5*100)</f>
        <v/>
      </c>
      <c r="M8" s="15" t="n"/>
      <c r="N8" s="17" t="inlineStr">
        <is>
          <t>Buka tautan Drive</t>
        </is>
      </c>
    </row>
    <row r="9">
      <c r="A9" s="9" t="n">
        <v>3</v>
      </c>
      <c r="B9" s="14" t="inlineStr">
        <is>
          <t>Capsee</t>
        </is>
      </c>
      <c r="C9" s="14" t="inlineStr">
        <is>
          <t>Mohamat Fauzi Rohman</t>
        </is>
      </c>
      <c r="D9" s="15" t="inlineStr">
        <is>
          <t>Ketua: Mohamat Fauzi Rohman</t>
        </is>
      </c>
      <c r="E9" s="4" t="inlineStr">
        <is>
          <t>Aplikasi Mobile Monitoring dan Deteksi Kondisi Tanaman Cabai Pasca Berbunga Berbasis Machine Learning</t>
        </is>
      </c>
      <c r="F9" s="16" t="n"/>
      <c r="G9" s="16" t="n"/>
      <c r="H9" s="16" t="n"/>
      <c r="I9" s="16" t="n"/>
      <c r="J9" s="16" t="n"/>
      <c r="K9" s="16" t="n"/>
      <c r="L9" s="11">
        <f>IF(COUNT(F9:K9)&lt;6,"",SUMPRODUCT(F9:K9,$F$6:$K$6)/SUM($F$6:$K$6)/5*100)</f>
        <v/>
      </c>
      <c r="M9" s="15" t="n"/>
      <c r="N9" s="17" t="inlineStr">
        <is>
          <t>Buka tautan Drive</t>
        </is>
      </c>
    </row>
    <row r="10">
      <c r="A10" s="9" t="n">
        <v>4</v>
      </c>
      <c r="B10" s="14" t="inlineStr">
        <is>
          <t>Paroecy</t>
        </is>
      </c>
      <c r="C10" s="14" t="inlineStr">
        <is>
          <t>Abdul Ghofur Almiqbadi</t>
        </is>
      </c>
      <c r="D10" s="15" t="inlineStr">
        <is>
          <t>Ketua: Abdul Ghofur Almiqbadi</t>
        </is>
      </c>
      <c r="E10" s="4" t="inlineStr">
        <is>
          <t>Sign.L</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2</t>
        </is>
      </c>
      <c r="C11" s="14" t="inlineStr">
        <is>
          <t>Moch. Adam Arsyad Faizin</t>
        </is>
      </c>
      <c r="D11" s="15" t="inlineStr">
        <is>
          <t>Anthea Amodia Syaffah A (244107020024)
Moch. Adam Arsyad F (244107020104)
Bintang Pancahaya P (244107020115)
Muchammad Ibrahim A. A (244107020062)
Rafazl Radana D (244107020082)</t>
        </is>
      </c>
      <c r="E11" s="4" t="inlineStr">
        <is>
          <t>SkinSight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TI_3F - Dosen Pengampu: Titis Octary Satrio, S.ST., M.MT.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5</t>
        </is>
      </c>
      <c r="C7" s="14" t="inlineStr">
        <is>
          <t>Najla Nuricia Laudy</t>
        </is>
      </c>
      <c r="D7" s="15" t="inlineStr">
        <is>
          <t>Ketua: Najla Nuricia Laudy</t>
        </is>
      </c>
      <c r="E7" s="4" t="inlineStr">
        <is>
          <t>Hadir.in Presensi Mahasiswa Menggunakan Face Recognition</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Nabhan Rizqi Julian Saputro</t>
        </is>
      </c>
      <c r="D8" s="15" t="inlineStr">
        <is>
          <t>Arifah Zhafirah Wikananda (244107020188)
Athaulla Hafizh (244107020030)
Mokhammad Ilham Putra Wijaya Nabhan Rizqi Julian Saputro (244107020139)
Nevita Ttriya Yuliana (244107020208)</t>
        </is>
      </c>
      <c r="E8" s="4" t="inlineStr">
        <is>
          <t>Kenali Batikmu</t>
        </is>
      </c>
      <c r="F8" s="16" t="n"/>
      <c r="G8" s="16" t="n"/>
      <c r="H8" s="16" t="n"/>
      <c r="I8" s="16" t="n"/>
      <c r="J8" s="16" t="n"/>
      <c r="K8" s="16" t="n"/>
      <c r="L8" s="11">
        <f>IF(COUNT(F8:K8)&lt;6,"",SUMPRODUCT(F8:K8,$F$6:$K$6)/SUM($F$6:$K$6)/5*100)</f>
        <v/>
      </c>
      <c r="M8" s="15" t="n"/>
      <c r="N8" s="17" t="inlineStr">
        <is>
          <t>Buka tautan Drive</t>
        </is>
      </c>
    </row>
    <row r="9">
      <c r="A9" s="9" t="n">
        <v>3</v>
      </c>
      <c r="B9" s="14" t="inlineStr">
        <is>
          <t>Capsee</t>
        </is>
      </c>
      <c r="C9" s="14" t="inlineStr">
        <is>
          <t>Mohamat Fauzi Rohman</t>
        </is>
      </c>
      <c r="D9" s="15" t="inlineStr">
        <is>
          <t>Ketua: Mohamat Fauzi Rohman</t>
        </is>
      </c>
      <c r="E9" s="4" t="inlineStr">
        <is>
          <t>Aplikasi Mobile Monitoring dan Deteksi Kondisi Tanaman Cabai Pasca Berbunga Berbasis Machine Learning</t>
        </is>
      </c>
      <c r="F9" s="16" t="n"/>
      <c r="G9" s="16" t="n"/>
      <c r="H9" s="16" t="n"/>
      <c r="I9" s="16" t="n"/>
      <c r="J9" s="16" t="n"/>
      <c r="K9" s="16" t="n"/>
      <c r="L9" s="11">
        <f>IF(COUNT(F9:K9)&lt;6,"",SUMPRODUCT(F9:K9,$F$6:$K$6)/SUM($F$6:$K$6)/5*100)</f>
        <v/>
      </c>
      <c r="M9" s="15" t="n"/>
      <c r="N9" s="17" t="inlineStr">
        <is>
          <t>Buka tautan Drive</t>
        </is>
      </c>
    </row>
    <row r="10">
      <c r="A10" s="9" t="n">
        <v>4</v>
      </c>
      <c r="B10" s="14" t="inlineStr">
        <is>
          <t>Paroecy</t>
        </is>
      </c>
      <c r="C10" s="14" t="inlineStr">
        <is>
          <t>Abdul Ghofur Almiqbadi</t>
        </is>
      </c>
      <c r="D10" s="15" t="inlineStr">
        <is>
          <t>Ketua: Abdul Ghofur Almiqbadi</t>
        </is>
      </c>
      <c r="E10" s="4" t="inlineStr">
        <is>
          <t>Sign.L</t>
        </is>
      </c>
      <c r="F10" s="16" t="n"/>
      <c r="G10" s="16" t="n"/>
      <c r="H10" s="16" t="n"/>
      <c r="I10" s="16" t="n"/>
      <c r="J10" s="16" t="n"/>
      <c r="K10" s="16" t="n"/>
      <c r="L10" s="11">
        <f>IF(COUNT(F10:K10)&lt;6,"",SUMPRODUCT(F10:K10,$F$6:$K$6)/SUM($F$6:$K$6)/5*100)</f>
        <v/>
      </c>
      <c r="M10" s="15" t="n"/>
      <c r="N10" s="17" t="inlineStr">
        <is>
          <t>Buka tautan Drive</t>
        </is>
      </c>
    </row>
    <row r="11">
      <c r="A11" s="9" t="n">
        <v>5</v>
      </c>
      <c r="B11" s="14" t="inlineStr">
        <is>
          <t>Kelompok 2</t>
        </is>
      </c>
      <c r="C11" s="14" t="inlineStr">
        <is>
          <t>Moch. Adam Arsyad Faizin</t>
        </is>
      </c>
      <c r="D11" s="15" t="inlineStr">
        <is>
          <t>Anthea Amodia Syaffah A (244107020024)
Moch. Adam Arsyad F (244107020104)
Bintang Pancahaya P (244107020115)
Muchammad Ibrahim A. A (244107020062)
Rafazl Radana D (244107020082)</t>
        </is>
      </c>
      <c r="E11" s="4" t="inlineStr">
        <is>
          <t>SkinSight</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TI_3F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Kelompok 5</t>
        </is>
      </c>
      <c r="C5" s="14" t="inlineStr">
        <is>
          <t>Najla Nuricia Laudy</t>
        </is>
      </c>
      <c r="D5" s="4">
        <f>'Pemrograman Mobile'!D7</f>
        <v/>
      </c>
      <c r="E5" s="4" t="inlineStr">
        <is>
          <t>Hadir.in Presensi Mahasiswa Menggunakan Face Recognition</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Kelompok 4</t>
        </is>
      </c>
      <c r="C6" s="14" t="inlineStr">
        <is>
          <t>Nabhan Rizqi Julian Saputro</t>
        </is>
      </c>
      <c r="D6" s="4">
        <f>'Pemrograman Mobile'!D8</f>
        <v/>
      </c>
      <c r="E6" s="4" t="inlineStr">
        <is>
          <t>Kenali Batikmu</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Capsee</t>
        </is>
      </c>
      <c r="C7" s="14" t="inlineStr">
        <is>
          <t>Mohamat Fauzi Rohman</t>
        </is>
      </c>
      <c r="D7" s="4">
        <f>'Pemrograman Mobile'!D9</f>
        <v/>
      </c>
      <c r="E7" s="4" t="inlineStr">
        <is>
          <t>Aplikasi Mobile Monitoring dan Deteksi Kondisi Tanaman Cabai Pasca Berbunga Berbasis Machine Learning</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Paroecy</t>
        </is>
      </c>
      <c r="C8" s="14" t="inlineStr">
        <is>
          <t>Abdul Ghofur Almiqbadi</t>
        </is>
      </c>
      <c r="D8" s="4">
        <f>'Pemrograman Mobile'!D10</f>
        <v/>
      </c>
      <c r="E8" s="4" t="inlineStr">
        <is>
          <t>Sign.L</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Kelompok 2</t>
        </is>
      </c>
      <c r="C9" s="14" t="inlineStr">
        <is>
          <t>Moch. Adam Arsyad Faizin</t>
        </is>
      </c>
      <c r="D9" s="4">
        <f>'Pemrograman Mobile'!D11</f>
        <v/>
      </c>
      <c r="E9" s="4" t="inlineStr">
        <is>
          <t>SkinSight</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2026-09-20T10:42:00Z</dcterms:created>
  <dcterms:modified xsi:type="dcterms:W3CDTF">2026-09-20T10:42:00Z</dcterms:modified>
</cp:coreProperties>
</file>