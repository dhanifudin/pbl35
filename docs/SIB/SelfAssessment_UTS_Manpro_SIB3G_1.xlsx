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_Mahasiswa" sheetId="1" state="visible" r:id="rId3"/>
    <sheet name="Panduan_Dosen" sheetId="2" state="visible" r:id="rId4"/>
    <sheet name="Peta_Artefak" sheetId="3" state="visible" r:id="rId5"/>
    <sheet name="Kel1" sheetId="4" state="visible" r:id="rId6"/>
    <sheet name="Kel2" sheetId="5" state="visible" r:id="rId7"/>
    <sheet name="Kel3" sheetId="6" state="visible" r:id="rId8"/>
    <sheet name="Kel4" sheetId="7" state="visible" r:id="rId9"/>
    <sheet name="Kel5" sheetId="8" state="visible" r:id="rId10"/>
    <sheet name="Rek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<sst xmlns="http://schemas.openxmlformats.org/spreadsheetml/2006/main" count="574" uniqueCount="267">
  <si>
    <t xml:space="preserve">Panduan Self-Assessment UTS untuk Mahasiswa</t>
  </si>
  <si>
    <t xml:space="preserve">Manajemen Proyek Sistem Informasi · SIB 3G · Artefak Notion Minggu 1–7 + Laporan Tengah Semester &amp; Presentasi</t>
  </si>
  <si>
    <t xml:space="preserve">Intinya</t>
  </si>
  <si>
    <t xml:space="preserve">Untuk UTS, kelompok kalian melaporkan 10 artefak: 8 artefak Notion dari Minggu 1–7, ditambah Laporan Tengah Semester (LTS) dan slide presentasinya. Setiap artefak diubah ke PDF, diunggah ke Google Drive, lalu link-nya diisi di sheet kelompok kalian. Dosen akan membuka setiap PDF untuk memeriksa. Nilai dihitung dari hasil pemeriksaan dosen, bukan dari klaim kalian.</t>
  </si>
  <si>
    <t xml:space="preserve">5 langkah pengumpulan (tenggat: H-1 UTS)</t>
  </si>
  <si>
    <t xml:space="preserve">No</t>
  </si>
  <si>
    <t xml:space="preserve">Langkah</t>
  </si>
  <si>
    <t xml:space="preserve">Yang dilakukan</t>
  </si>
  <si>
    <t xml:space="preserve">1</t>
  </si>
  <si>
    <t xml:space="preserve">Ekspor ke PDF</t>
  </si>
  <si>
    <t xml:space="preserve">Ekspor setiap artefak Notion ke PDF (ikuti tabel 'Cara ekspor' di bawah, terutama WBS dan Jadwal). Susun LTS dengan Template &amp; Panduan LTS, lalu simpan LTS dan slide presentasinya sebagai PDF.</t>
  </si>
  <si>
    <t xml:space="preserve">2</t>
  </si>
  <si>
    <t xml:space="preserve">Cek PDF-nya</t>
  </si>
  <si>
    <t xml:space="preserve">Buka sendiri file PDF-nya. Pastikan semua isi terlihat: toggle terbuka, kolom tabel tidak terpotong, tidak ada halaman kosong. Yang dinilai adalah apa yang terlihat di PDF.</t>
  </si>
  <si>
    <t xml:space="preserve">3</t>
  </si>
  <si>
    <t xml:space="preserve">Unggah ke GDrive</t>
  </si>
  <si>
    <t xml:space="preserve">Simpan semua PDF di satu folder: PBL_SIB3G_Kel[nomor]/Snapshot_UTS/. Beri nama file sesuai kolom 'Nama file' (contoh: M06b_WBS.pdf).</t>
  </si>
  <si>
    <t xml:space="preserve">4</t>
  </si>
  <si>
    <t xml:space="preserve">Atur akses &amp; salin link</t>
  </si>
  <si>
    <t xml:space="preserve">Klik kanan file → Bagikan → Akses umum: 'Siapa saja yang memiliki link' sebagai Pelihat. Salin link FILE, bukan link folder.</t>
  </si>
  <si>
    <t xml:space="preserve">5</t>
  </si>
  <si>
    <t xml:space="preserve">Isi sheet kelompok</t>
  </si>
  <si>
    <t xml:space="preserve">Buka sheet kelompok kalian (Kel1–Kel5), isi kolom kuning saja: Level klaim, Link PDF, PIC, dan Catatan. Link Notion boleh diisi sebagai tambahan (tidak wajib).</t>
  </si>
  <si>
    <t xml:space="preserve">Cara ekspor &amp; nama file per artefak</t>
  </si>
  <si>
    <t xml:space="preserve">Kode</t>
  </si>
  <si>
    <t xml:space="preserve">Artefak</t>
  </si>
  <si>
    <t xml:space="preserve">Cara ekspor ke PDF</t>
  </si>
  <si>
    <t xml:space="preserve">Nama file</t>
  </si>
  <si>
    <t xml:space="preserve">M01</t>
  </si>
  <si>
    <t xml:space="preserve">Workspace Notion kelompok &amp; topik proyek</t>
  </si>
  <si>
    <t xml:space="preserve">Buka page beranda workspace → ••• (pojok kanan atas) → Export → format PDF → Export.</t>
  </si>
  <si>
    <t xml:space="preserve">M01_Workspace.pdf</t>
  </si>
  <si>
    <t xml:space="preserve">M02</t>
  </si>
  <si>
    <t xml:space="preserve">Problem Statement &amp; Business Case</t>
  </si>
  <si>
    <t xml:space="preserve">Ekspor page seperti biasa (••• → Export → PDF).</t>
  </si>
  <si>
    <t xml:space="preserve">M02_BusinessCase.pdf</t>
  </si>
  <si>
    <t xml:space="preserve">M03</t>
  </si>
  <si>
    <t xml:space="preserve">Stakeholder Register &amp; Engagement Plan</t>
  </si>
  <si>
    <t xml:space="preserve">Buka database dalam tampilan Table, lalu ekspor ke PDF. Cek semua kolom terlihat; jika terpotong, perkecil skala di jendela Export lalu ekspor ulang.</t>
  </si>
  <si>
    <t xml:space="preserve">M03_StakeholderRegister.pdf</t>
  </si>
  <si>
    <t xml:space="preserve">M05</t>
  </si>
  <si>
    <t xml:space="preserve">Project Charter</t>
  </si>
  <si>
    <t xml:space="preserve">Ekspor page seperti biasa.</t>
  </si>
  <si>
    <t xml:space="preserve">M05_ProjectCharter.pdf</t>
  </si>
  <si>
    <t xml:space="preserve">M06a</t>
  </si>
  <si>
    <t xml:space="preserve">Scope Statement</t>
  </si>
  <si>
    <t xml:space="preserve">M06a_ScopeStatement.pdf</t>
  </si>
  <si>
    <t xml:space="preserve">M06b</t>
  </si>
  <si>
    <t xml:space="preserve">Work Breakdown Structure</t>
  </si>
  <si>
    <t xml:space="preserve">BUKA SEMUA TOGGLE terlebih dahulu sampai level terbawah terlihat, baru ekspor ke PDF. Cek PDF: ketiga level harus tampak.</t>
  </si>
  <si>
    <t xml:space="preserve">M06b_WBS.pdf</t>
  </si>
  <si>
    <t xml:space="preserve">M06c</t>
  </si>
  <si>
    <t xml:space="preserve">Model Kebutuhan (Use Case)</t>
  </si>
  <si>
    <t xml:space="preserve">M06c_UseCase.pdf</t>
  </si>
  <si>
    <t xml:space="preserve">M07</t>
  </si>
  <si>
    <t xml:space="preserve">Jadwal Proyek (Timeline/Gantt)</t>
  </si>
  <si>
    <t xml:space="preserve">Satu PDF berisi: (1) screenshot tampilan Table (Task, Start, End, Depends On), (2) screenshot tampilan Timeline, (3) catatan jalur kritis. Cara mudah: tempel ketiganya di Google Docs → File → Download → PDF.</t>
  </si>
  <si>
    <t xml:space="preserve">M07_JadwalProyek.pdf</t>
  </si>
  <si>
    <t xml:space="preserve">M08a</t>
  </si>
  <si>
    <t xml:space="preserve">Laporan Tengah Semester (LTS)</t>
  </si>
  <si>
    <t xml:space="preserve">Isi Template_Laporan_Tengah_Semester_ManproSI.docx sesuai Panduan LTS → File → Save as / Download → PDF.</t>
  </si>
  <si>
    <t xml:space="preserve">M08a_LaporanTengahSemester.pdf</t>
  </si>
  <si>
    <t xml:space="preserve">M08b</t>
  </si>
  <si>
    <t xml:space="preserve">Slide Presentasi LTS</t>
  </si>
  <si>
    <t xml:space="preserve">Ekspor slide ke PDF (File → Download/Export → PDF).</t>
  </si>
  <si>
    <t xml:space="preserve">M08b_PresentasiLTS.pdf</t>
  </si>
  <si>
    <t xml:space="preserve">Baris oranye = perlu perhatian khusus saat ekspor.</t>
  </si>
  <si>
    <t xml:space="preserve">Cara menentukan Level klaim (0–4)</t>
  </si>
  <si>
    <t xml:space="preserve">Level</t>
  </si>
  <si>
    <t xml:space="preserve">Artinya</t>
  </si>
  <si>
    <t xml:space="preserve">Contoh</t>
  </si>
  <si>
    <t xml:space="preserve">Belum ada</t>
  </si>
  <si>
    <t xml:space="preserve">Artefak belum dibuat, atau PDF tidak bisa dibuka.</t>
  </si>
  <si>
    <t xml:space="preserve">Baru dibuat</t>
  </si>
  <si>
    <t xml:space="preserve">Page/database sudah ada, tapi isinya sebagian besar masih kosong.</t>
  </si>
  <si>
    <t xml:space="preserve">Sebagian</t>
  </si>
  <si>
    <t xml:space="preserve">Baru sebagian langkah jobsheet yang dikerjakan. Contoh: WBS baru sampai level 2.</t>
  </si>
  <si>
    <t xml:space="preserve">Lengkap</t>
  </si>
  <si>
    <t xml:space="preserve">Semua langkah jobsheet sudah dikerjakan untuk proyek kalian sendiri, sesuai kriteria penilaian di jobsheet.</t>
  </si>
  <si>
    <t xml:space="preserve">Lengkap &amp; sudah direvisi</t>
  </si>
  <si>
    <t xml:space="preserve">Level 3, ditambah sudah diperbaiki sesuai masukan dosen, dan nyambung dengan artefak sesudahnya (mis. isi WBS sama dengan task di Jadwal).</t>
  </si>
  <si>
    <t xml:space="preserve">Penting</t>
  </si>
  <si>
    <t xml:space="preserve">• Isi level dengan jujur. Jika level klaim kalian lebih tinggi 2 level atau lebih dari hasil pemeriksaan dosen, baris itu ditandai 'Overclaim' dan akan dibahas saat presentasi UTS.</t>
  </si>
  <si>
    <t xml:space="preserve">• Otomatis level 0 jika: link kosong, link tidak bisa dibuka, salah file, PDF kosong, atau isinya menyalin contoh PT Kreasi Digital.</t>
  </si>
  <si>
    <t xml:space="preserve">• Jangan mengubah kolom selain kolom kuning. Kolom biru diisi dosen.</t>
  </si>
  <si>
    <t xml:space="preserve">Contoh pengisian satu baris</t>
  </si>
  <si>
    <t xml:space="preserve">Kolom</t>
  </si>
  <si>
    <t xml:space="preserve">Contoh isi</t>
  </si>
  <si>
    <t xml:space="preserve">Kode / Artefak</t>
  </si>
  <si>
    <t xml:space="preserve">M06b – Work Breakdown Structure</t>
  </si>
  <si>
    <t xml:space="preserve">Level klaim</t>
  </si>
  <si>
    <t xml:space="preserve">Link PDF (GDrive)</t>
  </si>
  <si>
    <t xml:space="preserve">https://drive.google.com/file/d/…/view</t>
  </si>
  <si>
    <t xml:space="preserve">PIC</t>
  </si>
  <si>
    <t xml:space="preserve">Nama anggota yang bertanggung jawab</t>
  </si>
  <si>
    <t xml:space="preserve">Catatan</t>
  </si>
  <si>
    <t xml:space="preserve">WBS 3 level untuk 3 deliverable; belum direvisi setelah masukan dosen.</t>
  </si>
  <si>
    <t xml:space="preserve">Link Notion (opsional)</t>
  </si>
  <si>
    <t xml:space="preserve">https://www.notion.so/…</t>
  </si>
  <si>
    <t xml:space="preserve">Panduan Dosen – Verifikasi &amp; Perhitungan Nilai UTS</t>
  </si>
  <si>
    <t xml:space="preserve">Sheet ini tidak perlu dibaca mahasiswa. Sel kuning dapat diubah.</t>
  </si>
  <si>
    <t xml:space="preserve">1. Langkah verifikasi</t>
  </si>
  <si>
    <t xml:space="preserve">Buka PDF</t>
  </si>
  <si>
    <t xml:space="preserve">Untuk tiap baris, buka link PDF. Bandingkan isinya dengan kolom 'Kriteria lengkap' di sheet Peta_Artefak (diambil dari bagian F jobsheet).</t>
  </si>
  <si>
    <t xml:space="preserve">Isi kolom biru</t>
  </si>
  <si>
    <t xml:space="preserve">Link valid (Ya/Tidak), Level terverifikasi (0–4), dan Komentar singkat. 'Tidak' otomatis menjadikan level dihitung = 0.</t>
  </si>
  <si>
    <t xml:space="preserve">Skor rubrik</t>
  </si>
  <si>
    <t xml:space="preserve">Isi skor 1–5 untuk tiap aspek Rubrik LTS (setelah membaca M08a) dan Rubrik Presentasi (saat presentasi) di bagian Ringkasan tiap sheet kelompok.</t>
  </si>
  <si>
    <t xml:space="preserve">Cek tanggal</t>
  </si>
  <si>
    <t xml:space="preserve">Bila perlu, cek tanggal unggah/ubah file di GDrive (Detail file) untuk memastikan PDF diunggah sebelum tenggat.</t>
  </si>
  <si>
    <t xml:space="preserve">2. Logika perhitungan (earned value sederhana)</t>
  </si>
  <si>
    <t xml:space="preserve">Capaian (EV)</t>
  </si>
  <si>
    <t xml:space="preserve">Σ(bobot × level terverifikasi ÷ 4). 100% = semua artefak M1–M7 di level 4.</t>
  </si>
  <si>
    <t xml:space="preserve">Target Minggu 8 (PV)</t>
  </si>
  <si>
    <t xml:space="preserve">Σ(bobot × target level ÷ 4). Target bawaan: M1–M5 level 4 (sudah sempat direvisi), M6–M8 level 3 (baru dikumpulkan) → 84,75%.</t>
  </si>
  <si>
    <t xml:space="preserve">SPI</t>
  </si>
  <si>
    <t xml:space="preserve">Capaian ÷ Target. Menentukan status dan komponen progres nilai.</t>
  </si>
  <si>
    <t xml:space="preserve">Porsi M1–M7 dari seluruh proyek</t>
  </si>
  <si>
    <t xml:space="preserve">Dipakai untuk baris 'Setara progres proyek keseluruhan' (artefak M9–M16 ≈ 52% sisanya).</t>
  </si>
  <si>
    <t xml:space="preserve">3. Komponen Nilai UTS</t>
  </si>
  <si>
    <t xml:space="preserve">Komponen</t>
  </si>
  <si>
    <t xml:space="preserve">Bobot</t>
  </si>
  <si>
    <t xml:space="preserve">Cara menghitung</t>
  </si>
  <si>
    <t xml:space="preserve">Capaian artefak (terverifikasi, termasuk LTS &amp; slide)</t>
  </si>
  <si>
    <t xml:space="preserve">MIN(SPI;1) × 100</t>
  </si>
  <si>
    <t xml:space="preserve">Kualitas Laporan Tengah Semester</t>
  </si>
  <si>
    <t xml:space="preserve">Rubrik LTS (bagian 5): Σ(skor × bobot) ÷ 5 × 100</t>
  </si>
  <si>
    <t xml:space="preserve">Presentasi LTS</t>
  </si>
  <si>
    <t xml:space="preserve">Rubrik Presentasi (bagian 6): Σ(skor × bobot) ÷ 5 × 100</t>
  </si>
  <si>
    <t xml:space="preserve">Total bobot</t>
  </si>
  <si>
    <t xml:space="preserve">4. Ambang status (SPI)</t>
  </si>
  <si>
    <t xml:space="preserve">Status</t>
  </si>
  <si>
    <t xml:space="preserve">SPI minimal</t>
  </si>
  <si>
    <t xml:space="preserve">Makna</t>
  </si>
  <si>
    <t xml:space="preserve">On Track</t>
  </si>
  <si>
    <t xml:space="preserve">Sesuai/melampaui target Minggu 8.</t>
  </si>
  <si>
    <t xml:space="preserve">Perlu Perhatian</t>
  </si>
  <si>
    <t xml:space="preserve">Tertinggal sedikit; wajib rencana pemulihan sebelum Kuis 2 (Minggu 12).</t>
  </si>
  <si>
    <t xml:space="preserve">Kritis</t>
  </si>
  <si>
    <t xml:space="preserve">Tertinggal jauh; perlu pendampingan &amp; penjadwalan ulang.</t>
  </si>
  <si>
    <t xml:space="preserve">5. Rubrik Laporan Tengah Semester (M08a)</t>
  </si>
  <si>
    <t xml:space="preserve">Aspek</t>
  </si>
  <si>
    <t xml:space="preserve">Skor 1  |  Skor 3  |  Skor 5</t>
  </si>
  <si>
    <t xml:space="preserve">Ringkasan (B)</t>
  </si>
  <si>
    <t xml:space="preserve">1: Tidak ada / umum tanpa angka  |  3: Tujuan &amp; capaian ada, tanpa angka/status  |  5: ≤300 kata, lengkap dengan angka capaian, status, fokus berikutnya</t>
  </si>
  <si>
    <t xml:space="preserve">Hasil pelaksanaan (C.1–C.5)</t>
  </si>
  <si>
    <t xml:space="preserve">1: Salin-tempel Notion / tidak sesuai artefak  |  3: Ringkas, ada artefak yang tidak dibahas  |  5: Semua artefak diringkas tajam, dirujuk ke lampiran</t>
  </si>
  <si>
    <t xml:space="preserve">Status &amp; interpretasi capaian (C.6, C.7, E)</t>
  </si>
  <si>
    <t xml:space="preserve">1: Tanpa angka / tidak sesuai self-assessment  |  3: Angka ada, interpretasi dangkal  |  5: Angka konsisten, deliverable bertabel dengan bukti, interpretasi jujur</t>
  </si>
  <si>
    <t xml:space="preserve">Keterlibatan stakeholder (D)</t>
  </si>
  <si>
    <t xml:space="preserve">1: Tidak diisi  |  3: Ada kegiatan, tanpa tindak lanjut  |  5: Kegiatan, masukan, dan tindak lanjut jelas</t>
  </si>
  <si>
    <t xml:space="preserve">Kendala (F)</t>
  </si>
  <si>
    <t xml:space="preserve">1: Tidak ada / umum  |  3: Spesifik, tidak dikaitkan risiko awal  |  5: Spesifik, dikaitkan risiko M02, ada penanganan</t>
  </si>
  <si>
    <t xml:space="preserve">Rencana berikutnya (G)</t>
  </si>
  <si>
    <t xml:space="preserve">1: Tidak ada  |  3: Kegiatan tanpa minggu/PIC  |  5: Minggu, output, PIC lengkap; selaras M07; rencana pemulihan bila perlu</t>
  </si>
  <si>
    <t xml:space="preserve">Konsistensi &amp; kerapian</t>
  </si>
  <si>
    <t xml:space="preserve">1: Banyak inkonsistensi  |  3: Sedikit inkonsistensi  |  5: Konsisten, rapi, link lampiran valid</t>
  </si>
  <si>
    <t xml:space="preserve">6. Rubrik Presentasi LTS (M08b)</t>
  </si>
  <si>
    <t xml:space="preserve">Struktur &amp; pengelolaan waktu</t>
  </si>
  <si>
    <t xml:space="preserve">1: Tidak runtut, jauh melewati waktu  |  3: Runtut, sedikit melewati waktu  |  5: Runtut, tepat 10 menit, slide jelas</t>
  </si>
  <si>
    <t xml:space="preserve">Akurasi status (rencana vs realisasi)</t>
  </si>
  <si>
    <t xml:space="preserve">1: Hanya menceritakan yang dikerjakan  |  3: % capaian tanpa perbandingan target  |  5: % capaian, target, SPI, status dijelaskan benar</t>
  </si>
  <si>
    <t xml:space="preserve">Analisis kendala &amp; rencana pemulihan</t>
  </si>
  <si>
    <t xml:space="preserve">1: Tidak dibahas  |  3: Kendala disebut, rencana umum  |  5: Kendala dianalisis, pemulihan konkret &amp; realistis</t>
  </si>
  <si>
    <t xml:space="preserve">Penguasaan &amp; partisipasi tim</t>
  </si>
  <si>
    <t xml:space="preserve">1: Satu orang mendominasi, tidak bisa menjawab  |  3: Semua bicara, sebagian bisa menjawab  |  5: Semua bicara dan mampu menjawab</t>
  </si>
  <si>
    <t xml:space="preserve">7. Catatan</t>
  </si>
  <si>
    <t xml:space="preserve">• Template &amp; panduan LTS: Template_Laporan_Tengah_Semester_ManproSI.docx dan Panduan_Laporan_Tengah_Semester_ManproSI.docx. Sumber artefak &amp; kriteria: dokumen 'Alur Materi Manajemen Proyek Sistem Informasi – 16 Pertemuan PMBOK 8' dan Jobsheet Minggu 2, 3, 5, 6, 7 (bagian E &amp; F). M01 tidak berjobsheet; kriterianya dari kolom 'Artefak Notion' di Alur Materi.</t>
  </si>
  <si>
    <t xml:space="preserve">• Bobot dan target level adalah usulan; ubah di sheet Peta_Artefak.</t>
  </si>
  <si>
    <t xml:space="preserve">• Penilaian jobsheet mingguan di LMS tetap berjalan; lembar ini menilai status kumulatif proyek di Minggu 8.</t>
  </si>
  <si>
    <t xml:space="preserve">• Bila dipakai di Google Sheets: kunci kolom biru, kolom hasil, dan Panduan_Dosen dengan protected range; mahasiswa hanya bisa mengedit kolom kuning.</t>
  </si>
  <si>
    <t xml:space="preserve">Peta Artefak UTS (Output Jobsheet Notion Minggu 1–7) – Kriteria, Bobot &amp; Target Minggu 8</t>
  </si>
  <si>
    <t xml:space="preserve">Kolom Kriteria membantu mahasiswa menentukan level; Bobot dan Target (sel kuning) diatur dosen. Total bobot = 100.</t>
  </si>
  <si>
    <t xml:space="preserve">Minggu</t>
  </si>
  <si>
    <t xml:space="preserve">Artefak Notion</t>
  </si>
  <si>
    <t xml:space="preserve">Bentuk di Notion</t>
  </si>
  <si>
    <t xml:space="preserve">Domain PMBOK 8</t>
  </si>
  <si>
    <t xml:space="preserve">Kriteria lengkap (dari jobsheet)</t>
  </si>
  <si>
    <t xml:space="preserve">Target Minggu 8 (0–4)</t>
  </si>
  <si>
    <t xml:space="preserve">Page beranda</t>
  </si>
  <si>
    <t xml:space="preserve">Overview / Governance</t>
  </si>
  <si>
    <t xml:space="preserve">Workspace dibuat, topik proyek &amp; anggota tim tercantum, semua page artefak tertaut dari beranda.</t>
  </si>
  <si>
    <t xml:space="preserve">Page</t>
  </si>
  <si>
    <t xml:space="preserve">Governance + Risk (pengantar)</t>
  </si>
  <si>
    <t xml:space="preserve">Problem statement spesifik (40%) · business case &amp; value proposition terhubung ke masalah (35%) · governance sederhana + min. 2 risiko awal (25%).</t>
  </si>
  <si>
    <t xml:space="preserve">Database</t>
  </si>
  <si>
    <t xml:space="preserve">Stakeholders</t>
  </si>
  <si>
    <t xml:space="preserve">Min. 5 stakeholder termasuk yang tidak langsung (35%) · power-interest &amp; kuadran masuk akal (35%) · strategi &amp; frekuensi komunikasi sesuai kuadran (30%).</t>
  </si>
  <si>
    <t xml:space="preserve">Tailoring + Governance</t>
  </si>
  <si>
    <t xml:space="preserve">Pendekatan predictive/adaptive/hybrid beralasan (25%) · tujuan, scope garis besar, tim &amp; peran, milestone, asumsi/risiko lengkap (50%) · kesepakatan kerja tim jelas (25%).</t>
  </si>
  <si>
    <t xml:space="preserve">Scope</t>
  </si>
  <si>
    <t xml:space="preserve">Justification, deliverables, acceptance criteria, exclusions, constraints (aspek 30% jobsheet M6).</t>
  </si>
  <si>
    <t xml:space="preserve">Page (toggle list)</t>
  </si>
  <si>
    <t xml:space="preserve">Min. 3 level, mencakup seluruh deliverable di Scope Statement (aspek 40% jobsheet M6).</t>
  </si>
  <si>
    <t xml:space="preserve">Scope (model kebutuhan, khas SI)</t>
  </si>
  <si>
    <t xml:space="preserve">Aktor &amp; use case jelas dan sesuai deliverable (aspek 30% jobsheet M6).</t>
  </si>
  <si>
    <t xml:space="preserve">Database + Timeline view</t>
  </si>
  <si>
    <t xml:space="preserve">Schedule</t>
  </si>
  <si>
    <t xml:space="preserve">Semua work package WBS masuk jadwal dengan durasi wajar (35%) · dependensi logis (35%) · catatan jalur kritis &amp; alasannya (30%).</t>
  </si>
  <si>
    <t xml:space="preserve">Dokumen (template .docx)</t>
  </si>
  <si>
    <t xml:space="preserve">Governance (status report / M&amp;C)</t>
  </si>
  <si>
    <t xml:space="preserve">Mengikuti Template LTS bagian A–H; angka status konsisten dengan self-assessment; dinilai rinci dengan Rubrik LTS di Panduan_Dosen.</t>
  </si>
  <si>
    <t xml:space="preserve">Slide (PPT/Google Slides/Canva)</t>
  </si>
  <si>
    <t xml:space="preserve">Stakeholders (komunikasi)</t>
  </si>
  <si>
    <t xml:space="preserve">8–10 slide mengikuti struktur di Panduan LTS bagian 4; dinilai saat presentasi dengan Rubrik Presentasi.</t>
  </si>
  <si>
    <t xml:space="preserve">Target capaian Minggu 8</t>
  </si>
  <si>
    <t xml:space="preserve">Self-Assessment UTS – Artefak Proyek (Minggu 1–8)</t>
  </si>
  <si>
    <t xml:space="preserve">Kelompok</t>
  </si>
  <si>
    <t xml:space="preserve">Kel. 1 (Nafisa dkk.)</t>
  </si>
  <si>
    <t xml:space="preserve">Topik</t>
  </si>
  <si>
    <t xml:space="preserve">REBANT – pesanan, produksi MTS/MTO &amp; persediaan</t>
  </si>
  <si>
    <t xml:space="preserve">Link folder GDrive Snapshot_UTS</t>
  </si>
  <si>
    <t xml:space="preserve">Petunjuk</t>
  </si>
  <si>
    <t xml:space="preserve">Isi kolom kuning saja. Cara pengisian ada di sheet Panduan_Mahasiswa.</t>
  </si>
  <si>
    <t xml:space="preserve">ARTEFAK (otomatis)</t>
  </si>
  <si>
    <t xml:space="preserve">DIISI MAHASISWA</t>
  </si>
  <si>
    <t xml:space="preserve">DIISI DOSEN</t>
  </si>
  <si>
    <t xml:space="preserve">HASIL (otomatis)</t>
  </si>
  <si>
    <t xml:space="preserve">Nama file PDF</t>
  </si>
  <si>
    <t xml:space="preserve">Level klaim (0–4)</t>
  </si>
  <si>
    <t xml:space="preserve">Link PDF di GDrive (wajib)</t>
  </si>
  <si>
    <t xml:space="preserve">Link valid?</t>
  </si>
  <si>
    <t xml:space="preserve">Level terverifikasi (0–4)</t>
  </si>
  <si>
    <t xml:space="preserve">Komentar dosen</t>
  </si>
  <si>
    <t xml:space="preserve">Level dihitung</t>
  </si>
  <si>
    <t xml:space="preserve">Selisih klaim − verifikasi</t>
  </si>
  <si>
    <t xml:space="preserve">Flag</t>
  </si>
  <si>
    <t xml:space="preserve">RINGKASAN</t>
  </si>
  <si>
    <t xml:space="preserve">Capaian menurut klaim kelompok</t>
  </si>
  <si>
    <t xml:space="preserve">Capaian terverifikasi dosen</t>
  </si>
  <si>
    <t xml:space="preserve">SPI (capaian ÷ target)</t>
  </si>
  <si>
    <t xml:space="preserve">Setara progres proyek keseluruhan</t>
  </si>
  <si>
    <t xml:space="preserve">Jumlah artefak overclaim</t>
  </si>
  <si>
    <t xml:space="preserve">Jumlah artefak belum diverifikasi</t>
  </si>
  <si>
    <t xml:space="preserve">LTS: Ringkasan (B) (1–5)</t>
  </si>
  <si>
    <t xml:space="preserve">LTS: Hasil pelaksanaan (C.1–C.5) (1–5)</t>
  </si>
  <si>
    <t xml:space="preserve">LTS: Status &amp; interpretasi capaian (C.6, C.7, E) (1–5)</t>
  </si>
  <si>
    <t xml:space="preserve">LTS: Keterlibatan stakeholder (D) (1–5)</t>
  </si>
  <si>
    <t xml:space="preserve">LTS: Kendala (F) (1–5)</t>
  </si>
  <si>
    <t xml:space="preserve">LTS: Rencana berikutnya (G) (1–5)</t>
  </si>
  <si>
    <t xml:space="preserve">LTS: Konsistensi &amp; kerapian (1–5)</t>
  </si>
  <si>
    <t xml:space="preserve">SKOR LTS (0–100)</t>
  </si>
  <si>
    <t xml:space="preserve">Presentasi: Struktur &amp; pengelolaan waktu (1–5)</t>
  </si>
  <si>
    <t xml:space="preserve">Presentasi: Akurasi status (rencana vs realisasi) (1–5)</t>
  </si>
  <si>
    <t xml:space="preserve">Presentasi: Analisis kendala &amp; rencana pemulihan (1–5)</t>
  </si>
  <si>
    <t xml:space="preserve">Presentasi: Penguasaan &amp; partisipasi tim (1–5)</t>
  </si>
  <si>
    <t xml:space="preserve">SKOR PRESENTASI (0–100)</t>
  </si>
  <si>
    <t xml:space="preserve">NILAI UTS (0–100)</t>
  </si>
  <si>
    <t xml:space="preserve">Kel. 2 (Ailsa dkk.)</t>
  </si>
  <si>
    <t xml:space="preserve">OutGear Station – penyewaan &amp; inventaris alat outdoor</t>
  </si>
  <si>
    <t xml:space="preserve">Kel. 3 (Tria dkk.)</t>
  </si>
  <si>
    <t xml:space="preserve">Kopstud – POS &amp; pasokan multi-cabang</t>
  </si>
  <si>
    <t xml:space="preserve">Kel. 4 (Kartiko dkk.)</t>
  </si>
  <si>
    <t xml:space="preserve">Laundry Cihuy – pesanan, stok &amp; pelacakan cucian</t>
  </si>
  <si>
    <t xml:space="preserve">Kel. 5 (Anindya dkk.)</t>
  </si>
  <si>
    <t xml:space="preserve">PT Askara Mulia Sejahtera – stok &amp; penjualan induk-varian</t>
  </si>
  <si>
    <t xml:space="preserve">Rekap UTS – Monitoring &amp; Evaluation SIB 3G</t>
  </si>
  <si>
    <t xml:space="preserve">Minggu 8 · artefak M1–M7 + Laporan Tengah Semester &amp; Presentasi</t>
  </si>
  <si>
    <t xml:space="preserve">Target M8</t>
  </si>
  <si>
    <t xml:space="preserve">Capaian klaim</t>
  </si>
  <si>
    <t xml:space="preserve">Capaian terverifikasi</t>
  </si>
  <si>
    <t xml:space="preserve">Setara progres proyek</t>
  </si>
  <si>
    <t xml:space="preserve">Overclaim</t>
  </si>
  <si>
    <t xml:space="preserve">Skor LTS</t>
  </si>
  <si>
    <t xml:space="preserve">Skor Presentasi</t>
  </si>
  <si>
    <t xml:space="preserve">Nilai UTS</t>
  </si>
  <si>
    <t xml:space="preserve">Catatan / rencana pemulihan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</si>
</sst>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"/>
    <numFmt numFmtId="167" formatCode="General"/>
    <numFmt numFmtId="168" formatCode="0.0%"/>
    <numFmt numFmtId="169" formatCode="0"/>
    <numFmt numFmtId="170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2F5597"/>
        <bgColor rgb="FF1F3864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62"/>
    <col collapsed="false" customWidth="true" hidden="false" outlineLevel="0" max="5" min="5" style="0" width="2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5" hidden="false" customHeight="true" outlineLevel="0" collapsed="false">
      <c r="B5" s="4" t="s">
        <v>3</v>
      </c>
      <c r="C5" s="4"/>
      <c r="D5" s="4"/>
      <c r="E5" s="4"/>
    </row>
    <row r="7" customFormat="false" ht="15" hidden="false" customHeight="false" outlineLevel="0" collapsed="false">
      <c r="B7" s="3" t="s">
        <v>4</v>
      </c>
    </row>
    <row r="8" customFormat="false" ht="15" hidden="false" customHeight="true" outlineLevel="0" collapsed="false">
      <c r="B8" s="5" t="s">
        <v>5</v>
      </c>
      <c r="C8" s="5" t="s">
        <v>6</v>
      </c>
      <c r="D8" s="5" t="s">
        <v>7</v>
      </c>
      <c r="E8" s="5"/>
    </row>
    <row r="9" customFormat="false" ht="45" hidden="false" customHeight="true" outlineLevel="0" collapsed="false">
      <c r="B9" s="6" t="s">
        <v>8</v>
      </c>
      <c r="C9" s="7" t="s">
        <v>9</v>
      </c>
      <c r="D9" s="8" t="s">
        <v>10</v>
      </c>
      <c r="E9" s="8"/>
    </row>
    <row r="10" customFormat="false" ht="45" hidden="false" customHeight="true" outlineLevel="0" collapsed="false">
      <c r="B10" s="6" t="s">
        <v>11</v>
      </c>
      <c r="C10" s="7" t="s">
        <v>12</v>
      </c>
      <c r="D10" s="8" t="s">
        <v>13</v>
      </c>
      <c r="E10" s="8"/>
    </row>
    <row r="11" customFormat="false" ht="30" hidden="false" customHeight="true" outlineLevel="0" collapsed="false">
      <c r="B11" s="6" t="s">
        <v>14</v>
      </c>
      <c r="C11" s="7" t="s">
        <v>15</v>
      </c>
      <c r="D11" s="8" t="s">
        <v>16</v>
      </c>
      <c r="E11" s="8"/>
    </row>
    <row r="12" customFormat="false" ht="30" hidden="false" customHeight="true" outlineLevel="0" collapsed="false">
      <c r="B12" s="6" t="s">
        <v>17</v>
      </c>
      <c r="C12" s="7" t="s">
        <v>18</v>
      </c>
      <c r="D12" s="8" t="s">
        <v>19</v>
      </c>
      <c r="E12" s="8"/>
    </row>
    <row r="13" customFormat="false" ht="30" hidden="false" customHeight="true" outlineLevel="0" collapsed="false">
      <c r="B13" s="6" t="s">
        <v>20</v>
      </c>
      <c r="C13" s="7" t="s">
        <v>21</v>
      </c>
      <c r="D13" s="8" t="s">
        <v>22</v>
      </c>
      <c r="E13" s="8"/>
    </row>
    <row r="15" customFormat="false" ht="15" hidden="false" customHeight="false" outlineLevel="0" collapsed="false">
      <c r="B15" s="3" t="s">
        <v>23</v>
      </c>
    </row>
    <row r="16" customFormat="false" ht="15" hidden="false" customHeight="false" outlineLevel="0" collapsed="false">
      <c r="B16" s="5" t="s">
        <v>24</v>
      </c>
      <c r="C16" s="5" t="s">
        <v>25</v>
      </c>
      <c r="D16" s="5" t="s">
        <v>26</v>
      </c>
      <c r="E16" s="5" t="s">
        <v>27</v>
      </c>
    </row>
    <row r="17" customFormat="false" ht="30" hidden="false" customHeight="true" outlineLevel="0" collapsed="false">
      <c r="B17" s="9" t="s">
        <v>28</v>
      </c>
      <c r="C17" s="8" t="s">
        <v>29</v>
      </c>
      <c r="D17" s="8" t="s">
        <v>30</v>
      </c>
      <c r="E17" s="10" t="s">
        <v>31</v>
      </c>
    </row>
    <row r="18" customFormat="false" ht="15" hidden="false" customHeight="true" outlineLevel="0" collapsed="false">
      <c r="B18" s="9" t="s">
        <v>32</v>
      </c>
      <c r="C18" s="8" t="s">
        <v>33</v>
      </c>
      <c r="D18" s="8" t="s">
        <v>34</v>
      </c>
      <c r="E18" s="10" t="s">
        <v>35</v>
      </c>
    </row>
    <row r="19" customFormat="false" ht="45" hidden="false" customHeight="true" outlineLevel="0" collapsed="false">
      <c r="B19" s="9" t="s">
        <v>36</v>
      </c>
      <c r="C19" s="8" t="s">
        <v>37</v>
      </c>
      <c r="D19" s="8" t="s">
        <v>38</v>
      </c>
      <c r="E19" s="10" t="s">
        <v>39</v>
      </c>
    </row>
    <row r="20" customFormat="false" ht="15" hidden="false" customHeight="true" outlineLevel="0" collapsed="false">
      <c r="B20" s="9" t="s">
        <v>40</v>
      </c>
      <c r="C20" s="8" t="s">
        <v>41</v>
      </c>
      <c r="D20" s="8" t="s">
        <v>42</v>
      </c>
      <c r="E20" s="10" t="s">
        <v>43</v>
      </c>
    </row>
    <row r="21" customFormat="false" ht="15" hidden="false" customHeight="true" outlineLevel="0" collapsed="false">
      <c r="B21" s="9" t="s">
        <v>44</v>
      </c>
      <c r="C21" s="8" t="s">
        <v>45</v>
      </c>
      <c r="D21" s="8" t="s">
        <v>42</v>
      </c>
      <c r="E21" s="10" t="s">
        <v>46</v>
      </c>
    </row>
    <row r="22" customFormat="false" ht="45" hidden="false" customHeight="true" outlineLevel="0" collapsed="false">
      <c r="B22" s="11" t="s">
        <v>47</v>
      </c>
      <c r="C22" s="12" t="s">
        <v>48</v>
      </c>
      <c r="D22" s="12" t="s">
        <v>49</v>
      </c>
      <c r="E22" s="13" t="s">
        <v>50</v>
      </c>
    </row>
    <row r="23" customFormat="false" ht="15" hidden="false" customHeight="true" outlineLevel="0" collapsed="false">
      <c r="B23" s="9" t="s">
        <v>51</v>
      </c>
      <c r="C23" s="8" t="s">
        <v>52</v>
      </c>
      <c r="D23" s="8" t="s">
        <v>42</v>
      </c>
      <c r="E23" s="10" t="s">
        <v>53</v>
      </c>
    </row>
    <row r="24" customFormat="false" ht="60" hidden="false" customHeight="true" outlineLevel="0" collapsed="false">
      <c r="B24" s="11" t="s">
        <v>54</v>
      </c>
      <c r="C24" s="12" t="s">
        <v>55</v>
      </c>
      <c r="D24" s="12" t="s">
        <v>56</v>
      </c>
      <c r="E24" s="13" t="s">
        <v>57</v>
      </c>
    </row>
    <row r="25" customFormat="false" ht="30" hidden="false" customHeight="true" outlineLevel="0" collapsed="false">
      <c r="B25" s="11" t="s">
        <v>58</v>
      </c>
      <c r="C25" s="12" t="s">
        <v>59</v>
      </c>
      <c r="D25" s="12" t="s">
        <v>60</v>
      </c>
      <c r="E25" s="13" t="s">
        <v>61</v>
      </c>
    </row>
    <row r="26" customFormat="false" ht="15" hidden="false" customHeight="true" outlineLevel="0" collapsed="false">
      <c r="B26" s="9" t="s">
        <v>62</v>
      </c>
      <c r="C26" s="8" t="s">
        <v>63</v>
      </c>
      <c r="D26" s="8" t="s">
        <v>64</v>
      </c>
      <c r="E26" s="10" t="s">
        <v>65</v>
      </c>
    </row>
    <row r="27" customFormat="false" ht="74.6" hidden="false" customHeight="false" outlineLevel="0" collapsed="false">
      <c r="B27" s="14" t="s">
        <v>66</v>
      </c>
    </row>
    <row r="29" customFormat="false" ht="15" hidden="false" customHeight="false" outlineLevel="0" collapsed="false">
      <c r="B29" s="3" t="s">
        <v>67</v>
      </c>
    </row>
    <row r="30" customFormat="false" ht="15" hidden="false" customHeight="true" outlineLevel="0" collapsed="false">
      <c r="B30" s="5" t="s">
        <v>68</v>
      </c>
      <c r="C30" s="5" t="s">
        <v>69</v>
      </c>
      <c r="D30" s="5" t="s">
        <v>70</v>
      </c>
      <c r="E30" s="5"/>
    </row>
    <row r="31" customFormat="false" ht="15" hidden="false" customHeight="true" outlineLevel="0" collapsed="false">
      <c r="B31" s="6" t="n">
        <v>0</v>
      </c>
      <c r="C31" s="7" t="s">
        <v>71</v>
      </c>
      <c r="D31" s="8" t="s">
        <v>72</v>
      </c>
      <c r="E31" s="8"/>
    </row>
    <row r="32" customFormat="false" ht="15" hidden="false" customHeight="true" outlineLevel="0" collapsed="false">
      <c r="B32" s="6" t="n">
        <v>1</v>
      </c>
      <c r="C32" s="7" t="s">
        <v>73</v>
      </c>
      <c r="D32" s="8" t="s">
        <v>74</v>
      </c>
      <c r="E32" s="8"/>
    </row>
    <row r="33" customFormat="false" ht="30" hidden="false" customHeight="true" outlineLevel="0" collapsed="false">
      <c r="B33" s="6" t="n">
        <v>2</v>
      </c>
      <c r="C33" s="7" t="s">
        <v>75</v>
      </c>
      <c r="D33" s="8" t="s">
        <v>76</v>
      </c>
      <c r="E33" s="8"/>
    </row>
    <row r="34" customFormat="false" ht="30" hidden="false" customHeight="true" outlineLevel="0" collapsed="false">
      <c r="B34" s="6" t="n">
        <v>3</v>
      </c>
      <c r="C34" s="7" t="s">
        <v>77</v>
      </c>
      <c r="D34" s="8" t="s">
        <v>78</v>
      </c>
      <c r="E34" s="8"/>
    </row>
    <row r="35" customFormat="false" ht="30" hidden="false" customHeight="true" outlineLevel="0" collapsed="false">
      <c r="B35" s="6" t="n">
        <v>4</v>
      </c>
      <c r="C35" s="7" t="s">
        <v>79</v>
      </c>
      <c r="D35" s="8" t="s">
        <v>80</v>
      </c>
      <c r="E35" s="8"/>
    </row>
    <row r="37" customFormat="false" ht="15" hidden="false" customHeight="false" outlineLevel="0" collapsed="false">
      <c r="B37" s="3" t="s">
        <v>81</v>
      </c>
    </row>
    <row r="38" customFormat="false" ht="30" hidden="false" customHeight="true" outlineLevel="0" collapsed="false">
      <c r="B38" s="4" t="s">
        <v>82</v>
      </c>
      <c r="C38" s="4"/>
      <c r="D38" s="4"/>
      <c r="E38" s="4"/>
    </row>
    <row r="39" customFormat="false" ht="30" hidden="false" customHeight="true" outlineLevel="0" collapsed="false">
      <c r="B39" s="4" t="s">
        <v>83</v>
      </c>
      <c r="C39" s="4"/>
      <c r="D39" s="4"/>
      <c r="E39" s="4"/>
    </row>
    <row r="40" customFormat="false" ht="30" hidden="false" customHeight="true" outlineLevel="0" collapsed="false">
      <c r="B40" s="4" t="s">
        <v>84</v>
      </c>
      <c r="C40" s="4"/>
      <c r="D40" s="4"/>
      <c r="E40" s="4"/>
    </row>
    <row r="42" customFormat="false" ht="15" hidden="false" customHeight="false" outlineLevel="0" collapsed="false">
      <c r="B42" s="3" t="s">
        <v>85</v>
      </c>
    </row>
    <row r="43" customFormat="false" ht="15" hidden="false" customHeight="true" outlineLevel="0" collapsed="false">
      <c r="B43" s="5"/>
      <c r="C43" s="5" t="s">
        <v>86</v>
      </c>
      <c r="D43" s="5" t="s">
        <v>87</v>
      </c>
      <c r="E43" s="5"/>
    </row>
    <row r="44" customFormat="false" ht="15" hidden="false" customHeight="true" outlineLevel="0" collapsed="false">
      <c r="B44" s="15"/>
      <c r="C44" s="16" t="s">
        <v>88</v>
      </c>
      <c r="D44" s="17" t="s">
        <v>89</v>
      </c>
      <c r="E44" s="17"/>
    </row>
    <row r="45" customFormat="false" ht="15" hidden="false" customHeight="true" outlineLevel="0" collapsed="false">
      <c r="B45" s="15"/>
      <c r="C45" s="16" t="s">
        <v>90</v>
      </c>
      <c r="D45" s="17" t="s">
        <v>14</v>
      </c>
      <c r="E45" s="17"/>
    </row>
    <row r="46" customFormat="false" ht="15" hidden="false" customHeight="true" outlineLevel="0" collapsed="false">
      <c r="B46" s="15"/>
      <c r="C46" s="16" t="s">
        <v>91</v>
      </c>
      <c r="D46" s="17" t="s">
        <v>92</v>
      </c>
      <c r="E46" s="17"/>
    </row>
    <row r="47" customFormat="false" ht="15" hidden="false" customHeight="true" outlineLevel="0" collapsed="false">
      <c r="B47" s="15"/>
      <c r="C47" s="16" t="s">
        <v>93</v>
      </c>
      <c r="D47" s="17" t="s">
        <v>94</v>
      </c>
      <c r="E47" s="17"/>
    </row>
    <row r="48" customFormat="false" ht="15" hidden="false" customHeight="true" outlineLevel="0" collapsed="false">
      <c r="B48" s="15"/>
      <c r="C48" s="16" t="s">
        <v>95</v>
      </c>
      <c r="D48" s="17" t="s">
        <v>96</v>
      </c>
      <c r="E48" s="17"/>
    </row>
    <row r="49" customFormat="false" ht="15" hidden="false" customHeight="true" outlineLevel="0" collapsed="false">
      <c r="B49" s="15"/>
      <c r="C49" s="16" t="s">
        <v>97</v>
      </c>
      <c r="D49" s="17" t="s">
        <v>98</v>
      </c>
      <c r="E49" s="17"/>
    </row>
  </sheetData>
  <mergeCells count="23">
    <mergeCell ref="B5:E5"/>
    <mergeCell ref="D8:E8"/>
    <mergeCell ref="D9:E9"/>
    <mergeCell ref="D10:E10"/>
    <mergeCell ref="D11:E11"/>
    <mergeCell ref="D12:E12"/>
    <mergeCell ref="D13:E13"/>
    <mergeCell ref="D30:E30"/>
    <mergeCell ref="D31:E31"/>
    <mergeCell ref="D32:E32"/>
    <mergeCell ref="D33:E33"/>
    <mergeCell ref="D34:E34"/>
    <mergeCell ref="D35:E35"/>
    <mergeCell ref="B38:E38"/>
    <mergeCell ref="B39:E39"/>
    <mergeCell ref="B40:E40"/>
    <mergeCell ref="D43:E43"/>
    <mergeCell ref="D44:E44"/>
    <mergeCell ref="D45:E45"/>
    <mergeCell ref="D46:E46"/>
    <mergeCell ref="D47:E47"/>
    <mergeCell ref="D48:E48"/>
    <mergeCell ref="D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84"/>
  </cols>
  <sheetData>
    <row r="1" customFormat="false" ht="17.35" hidden="false" customHeight="false" outlineLevel="0" collapsed="false">
      <c r="B1" s="1" t="s">
        <v>99</v>
      </c>
    </row>
    <row r="2" customFormat="false" ht="15" hidden="false" customHeight="false" outlineLevel="0" collapsed="false">
      <c r="B2" s="2" t="s">
        <v>100</v>
      </c>
    </row>
    <row r="4" customFormat="false" ht="15" hidden="false" customHeight="false" outlineLevel="0" collapsed="false">
      <c r="B4" s="3" t="s">
        <v>101</v>
      </c>
    </row>
    <row r="5" customFormat="false" ht="30" hidden="false" customHeight="true" outlineLevel="0" collapsed="false">
      <c r="B5" s="18" t="s">
        <v>102</v>
      </c>
      <c r="D5" s="19" t="s">
        <v>103</v>
      </c>
    </row>
    <row r="6" customFormat="false" ht="30" hidden="false" customHeight="true" outlineLevel="0" collapsed="false">
      <c r="B6" s="18" t="s">
        <v>104</v>
      </c>
      <c r="D6" s="19" t="s">
        <v>105</v>
      </c>
    </row>
    <row r="7" customFormat="false" ht="30" hidden="false" customHeight="true" outlineLevel="0" collapsed="false">
      <c r="B7" s="18" t="s">
        <v>106</v>
      </c>
      <c r="D7" s="19" t="s">
        <v>107</v>
      </c>
    </row>
    <row r="8" customFormat="false" ht="30" hidden="false" customHeight="true" outlineLevel="0" collapsed="false">
      <c r="B8" s="18" t="s">
        <v>108</v>
      </c>
      <c r="D8" s="19" t="s">
        <v>109</v>
      </c>
    </row>
    <row r="10" customFormat="false" ht="15" hidden="false" customHeight="false" outlineLevel="0" collapsed="false">
      <c r="B10" s="3" t="s">
        <v>110</v>
      </c>
    </row>
    <row r="11" customFormat="false" ht="15" hidden="false" customHeight="true" outlineLevel="0" collapsed="false">
      <c r="B11" s="18" t="s">
        <v>111</v>
      </c>
      <c r="D11" s="19" t="s">
        <v>112</v>
      </c>
    </row>
    <row r="12" customFormat="false" ht="30" hidden="false" customHeight="true" outlineLevel="0" collapsed="false">
      <c r="B12" s="18" t="s">
        <v>113</v>
      </c>
      <c r="D12" s="19" t="s">
        <v>114</v>
      </c>
    </row>
    <row r="13" customFormat="false" ht="15" hidden="false" customHeight="true" outlineLevel="0" collapsed="false">
      <c r="B13" s="18" t="s">
        <v>115</v>
      </c>
      <c r="D13" s="19" t="s">
        <v>116</v>
      </c>
    </row>
    <row r="14" customFormat="false" ht="15" hidden="false" customHeight="false" outlineLevel="0" collapsed="false">
      <c r="B14" s="18" t="s">
        <v>117</v>
      </c>
      <c r="C14" s="20" t="n">
        <v>0.48</v>
      </c>
      <c r="D14" s="19" t="s">
        <v>118</v>
      </c>
    </row>
    <row r="16" customFormat="false" ht="15" hidden="false" customHeight="false" outlineLevel="0" collapsed="false">
      <c r="B16" s="3" t="s">
        <v>119</v>
      </c>
    </row>
    <row r="17" customFormat="false" ht="15" hidden="false" customHeight="false" outlineLevel="0" collapsed="false">
      <c r="B17" s="5" t="s">
        <v>120</v>
      </c>
      <c r="C17" s="5" t="s">
        <v>121</v>
      </c>
      <c r="D17" s="5" t="s">
        <v>122</v>
      </c>
    </row>
    <row r="18" customFormat="false" ht="23.85" hidden="false" customHeight="false" outlineLevel="0" collapsed="false">
      <c r="B18" s="8" t="s">
        <v>123</v>
      </c>
      <c r="C18" s="21" t="n">
        <v>0.5</v>
      </c>
      <c r="D18" s="8" t="s">
        <v>124</v>
      </c>
    </row>
    <row r="19" customFormat="false" ht="15" hidden="false" customHeight="false" outlineLevel="0" collapsed="false">
      <c r="B19" s="8" t="s">
        <v>125</v>
      </c>
      <c r="C19" s="21" t="n">
        <v>0.3</v>
      </c>
      <c r="D19" s="8" t="s">
        <v>126</v>
      </c>
    </row>
    <row r="20" customFormat="false" ht="15" hidden="false" customHeight="false" outlineLevel="0" collapsed="false">
      <c r="B20" s="8" t="s">
        <v>127</v>
      </c>
      <c r="C20" s="21" t="n">
        <v>0.2</v>
      </c>
      <c r="D20" s="8" t="s">
        <v>128</v>
      </c>
    </row>
    <row r="21" customFormat="false" ht="15" hidden="false" customHeight="false" outlineLevel="0" collapsed="false">
      <c r="B21" s="7" t="s">
        <v>129</v>
      </c>
      <c r="C21" s="22" t="n">
        <f aca="false">SUM(C18:C20)</f>
        <v>1</v>
      </c>
    </row>
    <row r="23" customFormat="false" ht="15" hidden="false" customHeight="false" outlineLevel="0" collapsed="false">
      <c r="B23" s="3" t="s">
        <v>130</v>
      </c>
    </row>
    <row r="24" customFormat="false" ht="15" hidden="false" customHeight="false" outlineLevel="0" collapsed="false">
      <c r="B24" s="5" t="s">
        <v>131</v>
      </c>
      <c r="C24" s="5" t="s">
        <v>132</v>
      </c>
      <c r="D24" s="5" t="s">
        <v>133</v>
      </c>
    </row>
    <row r="25" customFormat="false" ht="15" hidden="false" customHeight="false" outlineLevel="0" collapsed="false">
      <c r="B25" s="8" t="s">
        <v>134</v>
      </c>
      <c r="C25" s="23" t="n">
        <v>0.95</v>
      </c>
      <c r="D25" s="8" t="s">
        <v>135</v>
      </c>
    </row>
    <row r="26" customFormat="false" ht="15" hidden="false" customHeight="false" outlineLevel="0" collapsed="false">
      <c r="B26" s="8" t="s">
        <v>136</v>
      </c>
      <c r="C26" s="23" t="n">
        <v>0.8</v>
      </c>
      <c r="D26" s="8" t="s">
        <v>137</v>
      </c>
    </row>
    <row r="27" customFormat="false" ht="15" hidden="false" customHeight="false" outlineLevel="0" collapsed="false">
      <c r="B27" s="8" t="s">
        <v>138</v>
      </c>
      <c r="C27" s="24" t="n">
        <v>0</v>
      </c>
      <c r="D27" s="8" t="s">
        <v>139</v>
      </c>
    </row>
    <row r="29" customFormat="false" ht="15" hidden="false" customHeight="false" outlineLevel="0" collapsed="false">
      <c r="B29" s="3" t="s">
        <v>140</v>
      </c>
    </row>
    <row r="30" customFormat="false" ht="15" hidden="false" customHeight="false" outlineLevel="0" collapsed="false">
      <c r="B30" s="5" t="s">
        <v>141</v>
      </c>
      <c r="C30" s="5" t="s">
        <v>121</v>
      </c>
      <c r="D30" s="5" t="s">
        <v>142</v>
      </c>
    </row>
    <row r="31" customFormat="false" ht="30" hidden="false" customHeight="true" outlineLevel="0" collapsed="false">
      <c r="B31" s="7" t="s">
        <v>143</v>
      </c>
      <c r="C31" s="21" t="n">
        <v>0.1</v>
      </c>
      <c r="D31" s="8" t="s">
        <v>144</v>
      </c>
    </row>
    <row r="32" customFormat="false" ht="30" hidden="false" customHeight="true" outlineLevel="0" collapsed="false">
      <c r="B32" s="7" t="s">
        <v>145</v>
      </c>
      <c r="C32" s="21" t="n">
        <v>0.25</v>
      </c>
      <c r="D32" s="8" t="s">
        <v>146</v>
      </c>
    </row>
    <row r="33" customFormat="false" ht="30" hidden="false" customHeight="true" outlineLevel="0" collapsed="false">
      <c r="B33" s="7" t="s">
        <v>147</v>
      </c>
      <c r="C33" s="21" t="n">
        <v>0.2</v>
      </c>
      <c r="D33" s="8" t="s">
        <v>148</v>
      </c>
    </row>
    <row r="34" customFormat="false" ht="30" hidden="false" customHeight="true" outlineLevel="0" collapsed="false">
      <c r="B34" s="7" t="s">
        <v>149</v>
      </c>
      <c r="C34" s="21" t="n">
        <v>0.1</v>
      </c>
      <c r="D34" s="8" t="s">
        <v>150</v>
      </c>
    </row>
    <row r="35" customFormat="false" ht="30" hidden="false" customHeight="true" outlineLevel="0" collapsed="false">
      <c r="B35" s="7" t="s">
        <v>151</v>
      </c>
      <c r="C35" s="21" t="n">
        <v>0.15</v>
      </c>
      <c r="D35" s="8" t="s">
        <v>152</v>
      </c>
    </row>
    <row r="36" customFormat="false" ht="30" hidden="false" customHeight="true" outlineLevel="0" collapsed="false">
      <c r="B36" s="7" t="s">
        <v>153</v>
      </c>
      <c r="C36" s="21" t="n">
        <v>0.15</v>
      </c>
      <c r="D36" s="8" t="s">
        <v>154</v>
      </c>
    </row>
    <row r="37" customFormat="false" ht="30" hidden="false" customHeight="true" outlineLevel="0" collapsed="false">
      <c r="B37" s="7" t="s">
        <v>155</v>
      </c>
      <c r="C37" s="21" t="n">
        <v>0.05</v>
      </c>
      <c r="D37" s="8" t="s">
        <v>156</v>
      </c>
    </row>
    <row r="38" customFormat="false" ht="15" hidden="false" customHeight="false" outlineLevel="0" collapsed="false">
      <c r="B38" s="7" t="s">
        <v>129</v>
      </c>
      <c r="C38" s="22" t="n">
        <f aca="false">SUM(C31:C37)</f>
        <v>1</v>
      </c>
    </row>
    <row r="40" customFormat="false" ht="15" hidden="false" customHeight="false" outlineLevel="0" collapsed="false">
      <c r="B40" s="3" t="s">
        <v>157</v>
      </c>
    </row>
    <row r="41" customFormat="false" ht="15" hidden="false" customHeight="false" outlineLevel="0" collapsed="false">
      <c r="B41" s="5" t="s">
        <v>141</v>
      </c>
      <c r="C41" s="5" t="s">
        <v>121</v>
      </c>
      <c r="D41" s="5" t="s">
        <v>142</v>
      </c>
    </row>
    <row r="42" customFormat="false" ht="30" hidden="false" customHeight="true" outlineLevel="0" collapsed="false">
      <c r="B42" s="7" t="s">
        <v>158</v>
      </c>
      <c r="C42" s="21" t="n">
        <v>0.25</v>
      </c>
      <c r="D42" s="8" t="s">
        <v>159</v>
      </c>
    </row>
    <row r="43" customFormat="false" ht="30" hidden="false" customHeight="true" outlineLevel="0" collapsed="false">
      <c r="B43" s="7" t="s">
        <v>160</v>
      </c>
      <c r="C43" s="21" t="n">
        <v>0.25</v>
      </c>
      <c r="D43" s="8" t="s">
        <v>161</v>
      </c>
    </row>
    <row r="44" customFormat="false" ht="30" hidden="false" customHeight="true" outlineLevel="0" collapsed="false">
      <c r="B44" s="7" t="s">
        <v>162</v>
      </c>
      <c r="C44" s="21" t="n">
        <v>0.25</v>
      </c>
      <c r="D44" s="8" t="s">
        <v>163</v>
      </c>
    </row>
    <row r="45" customFormat="false" ht="30" hidden="false" customHeight="true" outlineLevel="0" collapsed="false">
      <c r="B45" s="7" t="s">
        <v>164</v>
      </c>
      <c r="C45" s="21" t="n">
        <v>0.25</v>
      </c>
      <c r="D45" s="8" t="s">
        <v>165</v>
      </c>
    </row>
    <row r="46" customFormat="false" ht="15" hidden="false" customHeight="false" outlineLevel="0" collapsed="false">
      <c r="B46" s="7" t="s">
        <v>129</v>
      </c>
      <c r="C46" s="22" t="n">
        <f aca="false">SUM(C42:C45)</f>
        <v>1</v>
      </c>
    </row>
    <row r="48" customFormat="false" ht="15" hidden="false" customHeight="false" outlineLevel="0" collapsed="false">
      <c r="B48" s="3" t="s">
        <v>166</v>
      </c>
    </row>
    <row r="49" customFormat="false" ht="27.75" hidden="false" customHeight="true" outlineLevel="0" collapsed="false">
      <c r="B49" s="25" t="s">
        <v>167</v>
      </c>
      <c r="C49" s="25"/>
      <c r="D49" s="25"/>
    </row>
    <row r="50" customFormat="false" ht="27.75" hidden="false" customHeight="true" outlineLevel="0" collapsed="false">
      <c r="B50" s="25" t="s">
        <v>168</v>
      </c>
      <c r="C50" s="25"/>
      <c r="D50" s="25"/>
    </row>
    <row r="51" customFormat="false" ht="27.75" hidden="false" customHeight="true" outlineLevel="0" collapsed="false">
      <c r="B51" s="25" t="s">
        <v>169</v>
      </c>
      <c r="C51" s="25"/>
      <c r="D51" s="25"/>
    </row>
    <row r="52" customFormat="false" ht="27.75" hidden="false" customHeight="true" outlineLevel="0" collapsed="false">
      <c r="B52" s="25" t="s">
        <v>170</v>
      </c>
      <c r="C52" s="25"/>
      <c r="D52" s="25"/>
    </row>
  </sheetData>
  <mergeCells count="4">
    <mergeCell ref="B49:D49"/>
    <mergeCell ref="B50:D50"/>
    <mergeCell ref="B51:D51"/>
    <mergeCell ref="B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62"/>
    <col collapsed="false" customWidth="true" hidden="false" outlineLevel="0" max="8" min="8" style="0" width="7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26" t="s">
        <v>171</v>
      </c>
    </row>
    <row r="2" customFormat="false" ht="15" hidden="false" customHeight="false" outlineLevel="0" collapsed="false">
      <c r="A2" s="27" t="s">
        <v>172</v>
      </c>
    </row>
    <row r="4" customFormat="false" ht="35.05" hidden="false" customHeight="false" outlineLevel="0" collapsed="false">
      <c r="A4" s="5" t="s">
        <v>5</v>
      </c>
      <c r="B4" s="5" t="s">
        <v>173</v>
      </c>
      <c r="C4" s="5" t="s">
        <v>24</v>
      </c>
      <c r="D4" s="5" t="s">
        <v>174</v>
      </c>
      <c r="E4" s="5" t="s">
        <v>175</v>
      </c>
      <c r="F4" s="5" t="s">
        <v>176</v>
      </c>
      <c r="G4" s="5" t="s">
        <v>177</v>
      </c>
      <c r="H4" s="5" t="s">
        <v>121</v>
      </c>
      <c r="I4" s="5" t="s">
        <v>178</v>
      </c>
    </row>
    <row r="5" customFormat="false" ht="43.5" hidden="false" customHeight="true" outlineLevel="0" collapsed="false">
      <c r="A5" s="9" t="n">
        <v>1</v>
      </c>
      <c r="B5" s="9" t="n">
        <v>1</v>
      </c>
      <c r="C5" s="9" t="s">
        <v>28</v>
      </c>
      <c r="D5" s="8" t="s">
        <v>29</v>
      </c>
      <c r="E5" s="8" t="s">
        <v>179</v>
      </c>
      <c r="F5" s="8" t="s">
        <v>180</v>
      </c>
      <c r="G5" s="8" t="s">
        <v>181</v>
      </c>
      <c r="H5" s="28" t="n">
        <v>4</v>
      </c>
      <c r="I5" s="28" t="n">
        <v>4</v>
      </c>
    </row>
    <row r="6" customFormat="false" ht="43.5" hidden="false" customHeight="true" outlineLevel="0" collapsed="false">
      <c r="A6" s="9" t="n">
        <v>2</v>
      </c>
      <c r="B6" s="9" t="n">
        <v>2</v>
      </c>
      <c r="C6" s="9" t="s">
        <v>32</v>
      </c>
      <c r="D6" s="8" t="s">
        <v>33</v>
      </c>
      <c r="E6" s="8" t="s">
        <v>182</v>
      </c>
      <c r="F6" s="8" t="s">
        <v>183</v>
      </c>
      <c r="G6" s="8" t="s">
        <v>184</v>
      </c>
      <c r="H6" s="28" t="n">
        <v>11</v>
      </c>
      <c r="I6" s="28" t="n">
        <v>4</v>
      </c>
    </row>
    <row r="7" customFormat="false" ht="43.5" hidden="false" customHeight="true" outlineLevel="0" collapsed="false">
      <c r="A7" s="9" t="n">
        <v>3</v>
      </c>
      <c r="B7" s="9" t="n">
        <v>3</v>
      </c>
      <c r="C7" s="9" t="s">
        <v>36</v>
      </c>
      <c r="D7" s="8" t="s">
        <v>37</v>
      </c>
      <c r="E7" s="8" t="s">
        <v>185</v>
      </c>
      <c r="F7" s="8" t="s">
        <v>186</v>
      </c>
      <c r="G7" s="8" t="s">
        <v>187</v>
      </c>
      <c r="H7" s="28" t="n">
        <v>11</v>
      </c>
      <c r="I7" s="28" t="n">
        <v>4</v>
      </c>
    </row>
    <row r="8" customFormat="false" ht="43.5" hidden="false" customHeight="true" outlineLevel="0" collapsed="false">
      <c r="A8" s="9" t="n">
        <v>4</v>
      </c>
      <c r="B8" s="9" t="n">
        <v>5</v>
      </c>
      <c r="C8" s="9" t="s">
        <v>40</v>
      </c>
      <c r="D8" s="8" t="s">
        <v>41</v>
      </c>
      <c r="E8" s="8" t="s">
        <v>182</v>
      </c>
      <c r="F8" s="8" t="s">
        <v>188</v>
      </c>
      <c r="G8" s="8" t="s">
        <v>189</v>
      </c>
      <c r="H8" s="28" t="n">
        <v>13</v>
      </c>
      <c r="I8" s="28" t="n">
        <v>4</v>
      </c>
    </row>
    <row r="9" customFormat="false" ht="43.5" hidden="false" customHeight="true" outlineLevel="0" collapsed="false">
      <c r="A9" s="9" t="n">
        <v>5</v>
      </c>
      <c r="B9" s="9" t="n">
        <v>6</v>
      </c>
      <c r="C9" s="9" t="s">
        <v>44</v>
      </c>
      <c r="D9" s="8" t="s">
        <v>45</v>
      </c>
      <c r="E9" s="8" t="s">
        <v>182</v>
      </c>
      <c r="F9" s="8" t="s">
        <v>190</v>
      </c>
      <c r="G9" s="8" t="s">
        <v>191</v>
      </c>
      <c r="H9" s="28" t="n">
        <v>11</v>
      </c>
      <c r="I9" s="28" t="n">
        <v>3</v>
      </c>
    </row>
    <row r="10" customFormat="false" ht="43.5" hidden="false" customHeight="true" outlineLevel="0" collapsed="false">
      <c r="A10" s="9" t="n">
        <v>6</v>
      </c>
      <c r="B10" s="9" t="n">
        <v>6</v>
      </c>
      <c r="C10" s="9" t="s">
        <v>47</v>
      </c>
      <c r="D10" s="8" t="s">
        <v>48</v>
      </c>
      <c r="E10" s="8" t="s">
        <v>192</v>
      </c>
      <c r="F10" s="8" t="s">
        <v>190</v>
      </c>
      <c r="G10" s="8" t="s">
        <v>193</v>
      </c>
      <c r="H10" s="28" t="n">
        <v>15</v>
      </c>
      <c r="I10" s="28" t="n">
        <v>3</v>
      </c>
    </row>
    <row r="11" customFormat="false" ht="43.5" hidden="false" customHeight="true" outlineLevel="0" collapsed="false">
      <c r="A11" s="9" t="n">
        <v>7</v>
      </c>
      <c r="B11" s="9" t="n">
        <v>6</v>
      </c>
      <c r="C11" s="9" t="s">
        <v>51</v>
      </c>
      <c r="D11" s="8" t="s">
        <v>52</v>
      </c>
      <c r="E11" s="8" t="s">
        <v>182</v>
      </c>
      <c r="F11" s="8" t="s">
        <v>194</v>
      </c>
      <c r="G11" s="8" t="s">
        <v>195</v>
      </c>
      <c r="H11" s="28" t="n">
        <v>10</v>
      </c>
      <c r="I11" s="28" t="n">
        <v>3</v>
      </c>
    </row>
    <row r="12" customFormat="false" ht="43.5" hidden="false" customHeight="true" outlineLevel="0" collapsed="false">
      <c r="A12" s="9" t="n">
        <v>8</v>
      </c>
      <c r="B12" s="9" t="n">
        <v>7</v>
      </c>
      <c r="C12" s="9" t="s">
        <v>54</v>
      </c>
      <c r="D12" s="8" t="s">
        <v>55</v>
      </c>
      <c r="E12" s="8" t="s">
        <v>196</v>
      </c>
      <c r="F12" s="8" t="s">
        <v>197</v>
      </c>
      <c r="G12" s="8" t="s">
        <v>198</v>
      </c>
      <c r="H12" s="28" t="n">
        <v>15</v>
      </c>
      <c r="I12" s="28" t="n">
        <v>3</v>
      </c>
    </row>
    <row r="13" customFormat="false" ht="43.5" hidden="false" customHeight="true" outlineLevel="0" collapsed="false">
      <c r="A13" s="9" t="n">
        <v>9</v>
      </c>
      <c r="B13" s="9" t="n">
        <v>8</v>
      </c>
      <c r="C13" s="9" t="s">
        <v>58</v>
      </c>
      <c r="D13" s="8" t="s">
        <v>59</v>
      </c>
      <c r="E13" s="8" t="s">
        <v>199</v>
      </c>
      <c r="F13" s="8" t="s">
        <v>200</v>
      </c>
      <c r="G13" s="8" t="s">
        <v>201</v>
      </c>
      <c r="H13" s="28" t="n">
        <v>7</v>
      </c>
      <c r="I13" s="28" t="n">
        <v>3</v>
      </c>
    </row>
    <row r="14" customFormat="false" ht="43.5" hidden="false" customHeight="true" outlineLevel="0" collapsed="false">
      <c r="A14" s="9" t="n">
        <v>10</v>
      </c>
      <c r="B14" s="9" t="n">
        <v>8</v>
      </c>
      <c r="C14" s="9" t="s">
        <v>62</v>
      </c>
      <c r="D14" s="8" t="s">
        <v>63</v>
      </c>
      <c r="E14" s="8" t="s">
        <v>202</v>
      </c>
      <c r="F14" s="8" t="s">
        <v>203</v>
      </c>
      <c r="G14" s="8" t="s">
        <v>204</v>
      </c>
      <c r="H14" s="28" t="n">
        <v>3</v>
      </c>
      <c r="I14" s="28" t="n">
        <v>3</v>
      </c>
    </row>
    <row r="15" customFormat="false" ht="15" hidden="false" customHeight="false" outlineLevel="0" collapsed="false">
      <c r="G15" s="29" t="s">
        <v>129</v>
      </c>
      <c r="H15" s="30" t="n">
        <f aca="false">SUM(H5:H14)</f>
        <v>100</v>
      </c>
    </row>
    <row r="16" customFormat="false" ht="15" hidden="false" customHeight="false" outlineLevel="0" collapsed="false">
      <c r="G16" s="29" t="s">
        <v>205</v>
      </c>
      <c r="I16" s="31" t="n">
        <f aca="false">SUMPRODUCT(H5:H14,I5:I14)/400</f>
        <v>0.8475</v>
      </c>
    </row>
  </sheetData>
  <dataValidations count="1">
    <dataValidation allowBlank="false" errorStyle="stop" operator="between" showDropDown="false" showErrorMessage="false" showInputMessage="false" sqref="I5:I14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206</v>
      </c>
    </row>
    <row r="2" customFormat="false" ht="15" hidden="false" customHeight="false" outlineLevel="0" collapsed="false">
      <c r="A2" s="32" t="s">
        <v>207</v>
      </c>
      <c r="B2" s="32"/>
      <c r="C2" s="32"/>
      <c r="D2" s="33" t="s">
        <v>208</v>
      </c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209</v>
      </c>
      <c r="B3" s="32"/>
      <c r="C3" s="32"/>
      <c r="D3" s="33" t="s">
        <v>210</v>
      </c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211</v>
      </c>
      <c r="B4" s="32"/>
      <c r="C4" s="32"/>
      <c r="D4" s="34"/>
      <c r="E4" s="34"/>
      <c r="F4" s="34"/>
      <c r="G4" s="34"/>
      <c r="H4" s="34"/>
      <c r="I4" s="34"/>
    </row>
    <row r="5" customFormat="false" ht="15" hidden="false" customHeight="false" outlineLevel="0" collapsed="false">
      <c r="A5" s="32" t="s">
        <v>212</v>
      </c>
      <c r="B5" s="32"/>
      <c r="C5" s="32"/>
      <c r="D5" s="35" t="s">
        <v>213</v>
      </c>
      <c r="E5" s="35"/>
      <c r="F5" s="35"/>
      <c r="G5" s="35"/>
      <c r="H5" s="35"/>
      <c r="I5" s="35"/>
    </row>
    <row r="7" customFormat="false" ht="15" hidden="false" customHeight="false" outlineLevel="0" collapsed="false">
      <c r="A7" s="36" t="s">
        <v>214</v>
      </c>
      <c r="B7" s="36"/>
      <c r="C7" s="36"/>
      <c r="D7" s="36"/>
      <c r="E7" s="36"/>
      <c r="F7" s="37" t="s">
        <v>215</v>
      </c>
      <c r="G7" s="37"/>
      <c r="H7" s="37"/>
      <c r="I7" s="37"/>
      <c r="J7" s="37"/>
      <c r="K7" s="38" t="s">
        <v>216</v>
      </c>
      <c r="L7" s="38"/>
      <c r="M7" s="38"/>
      <c r="N7" s="36" t="s">
        <v>217</v>
      </c>
      <c r="O7" s="36"/>
      <c r="P7" s="36"/>
    </row>
    <row r="8" customFormat="false" ht="42" hidden="false" customHeight="true" outlineLevel="0" collapsed="false">
      <c r="A8" s="5" t="s">
        <v>5</v>
      </c>
      <c r="B8" s="5" t="s">
        <v>173</v>
      </c>
      <c r="C8" s="5" t="s">
        <v>24</v>
      </c>
      <c r="D8" s="5" t="s">
        <v>174</v>
      </c>
      <c r="E8" s="5" t="s">
        <v>218</v>
      </c>
      <c r="F8" s="39" t="s">
        <v>219</v>
      </c>
      <c r="G8" s="39" t="s">
        <v>220</v>
      </c>
      <c r="H8" s="39" t="s">
        <v>93</v>
      </c>
      <c r="I8" s="39" t="s">
        <v>95</v>
      </c>
      <c r="J8" s="39" t="s">
        <v>97</v>
      </c>
      <c r="K8" s="40" t="s">
        <v>221</v>
      </c>
      <c r="L8" s="40" t="s">
        <v>222</v>
      </c>
      <c r="M8" s="40" t="s">
        <v>223</v>
      </c>
      <c r="N8" s="5" t="s">
        <v>224</v>
      </c>
      <c r="O8" s="5" t="s">
        <v>225</v>
      </c>
      <c r="P8" s="5" t="s">
        <v>226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1"/>
      <c r="G9" s="42"/>
      <c r="H9" s="42"/>
      <c r="I9" s="42"/>
      <c r="J9" s="42"/>
      <c r="K9" s="43"/>
      <c r="L9" s="43"/>
      <c r="M9" s="44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Statement &amp; Business Case</v>
      </c>
      <c r="E10" s="10" t="s">
        <v>35</v>
      </c>
      <c r="F10" s="41"/>
      <c r="G10" s="42"/>
      <c r="H10" s="42"/>
      <c r="I10" s="42"/>
      <c r="J10" s="42"/>
      <c r="K10" s="43"/>
      <c r="L10" s="43"/>
      <c r="M10" s="44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&amp; Engagement Plan</v>
      </c>
      <c r="E11" s="10" t="s">
        <v>39</v>
      </c>
      <c r="F11" s="41"/>
      <c r="G11" s="42"/>
      <c r="H11" s="42"/>
      <c r="I11" s="42"/>
      <c r="J11" s="42"/>
      <c r="K11" s="43"/>
      <c r="L11" s="43"/>
      <c r="M11" s="44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</v>
      </c>
      <c r="D12" s="8" t="str">
        <f aca="false">Peta_Artefak!D8</f>
        <v>Project Charter</v>
      </c>
      <c r="E12" s="10" t="s">
        <v>43</v>
      </c>
      <c r="F12" s="41"/>
      <c r="G12" s="42"/>
      <c r="H12" s="42"/>
      <c r="I12" s="42"/>
      <c r="J12" s="42"/>
      <c r="K12" s="43"/>
      <c r="L12" s="43"/>
      <c r="M12" s="44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6</v>
      </c>
      <c r="C13" s="9" t="str">
        <f aca="false">Peta_Artefak!C9</f>
        <v>M06a</v>
      </c>
      <c r="D13" s="8" t="str">
        <f aca="false">Peta_Artefak!D9</f>
        <v>Scope Statement</v>
      </c>
      <c r="E13" s="10" t="s">
        <v>46</v>
      </c>
      <c r="F13" s="41"/>
      <c r="G13" s="42"/>
      <c r="H13" s="42"/>
      <c r="I13" s="42"/>
      <c r="J13" s="42"/>
      <c r="K13" s="43"/>
      <c r="L13" s="43"/>
      <c r="M13" s="44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M06b</v>
      </c>
      <c r="D14" s="8" t="str">
        <f aca="false">Peta_Artefak!D10</f>
        <v>Work Breakdown Structure</v>
      </c>
      <c r="E14" s="10" t="s">
        <v>50</v>
      </c>
      <c r="F14" s="41"/>
      <c r="G14" s="42"/>
      <c r="H14" s="42"/>
      <c r="I14" s="42"/>
      <c r="J14" s="42"/>
      <c r="K14" s="43"/>
      <c r="L14" s="43"/>
      <c r="M14" s="44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M06c</v>
      </c>
      <c r="D15" s="8" t="str">
        <f aca="false">Peta_Artefak!D11</f>
        <v>Model Kebutuhan (Use Case)</v>
      </c>
      <c r="E15" s="10" t="s">
        <v>53</v>
      </c>
      <c r="F15" s="41"/>
      <c r="G15" s="42"/>
      <c r="H15" s="42"/>
      <c r="I15" s="42"/>
      <c r="J15" s="42"/>
      <c r="K15" s="43"/>
      <c r="L15" s="43"/>
      <c r="M15" s="44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</v>
      </c>
      <c r="D16" s="8" t="str">
        <f aca="false">Peta_Artefak!D12</f>
        <v>Jadwal Proyek (Timeline/Gantt)</v>
      </c>
      <c r="E16" s="10" t="s">
        <v>57</v>
      </c>
      <c r="F16" s="41"/>
      <c r="G16" s="42"/>
      <c r="H16" s="42"/>
      <c r="I16" s="42"/>
      <c r="J16" s="42"/>
      <c r="K16" s="43"/>
      <c r="L16" s="43"/>
      <c r="M16" s="44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8</v>
      </c>
      <c r="C17" s="9" t="str">
        <f aca="false">Peta_Artefak!C13</f>
        <v>M08a</v>
      </c>
      <c r="D17" s="8" t="str">
        <f aca="false">Peta_Artefak!D13</f>
        <v>Laporan Tengah Semester (LTS)</v>
      </c>
      <c r="E17" s="10" t="s">
        <v>61</v>
      </c>
      <c r="F17" s="41"/>
      <c r="G17" s="42"/>
      <c r="H17" s="42"/>
      <c r="I17" s="42"/>
      <c r="J17" s="42"/>
      <c r="K17" s="43"/>
      <c r="L17" s="43"/>
      <c r="M17" s="44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M08b</v>
      </c>
      <c r="D18" s="8" t="str">
        <f aca="false">Peta_Artefak!D14</f>
        <v>Slide Presentasi LTS</v>
      </c>
      <c r="E18" s="10" t="s">
        <v>65</v>
      </c>
      <c r="F18" s="41"/>
      <c r="G18" s="42"/>
      <c r="H18" s="42"/>
      <c r="I18" s="42"/>
      <c r="J18" s="42"/>
      <c r="K18" s="43"/>
      <c r="L18" s="43"/>
      <c r="M18" s="44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20" customFormat="false" ht="15" hidden="false" customHeight="false" outlineLevel="0" collapsed="false">
      <c r="D20" s="45" t="s">
        <v>227</v>
      </c>
    </row>
    <row r="21" customFormat="false" ht="15" hidden="false" customHeight="false" outlineLevel="0" collapsed="false">
      <c r="D21" s="46" t="s">
        <v>205</v>
      </c>
      <c r="F21" s="47" t="n">
        <f aca="false">SUMPRODUCT(Peta_Artefak!$H$5:$H$14,Peta_Artefak!$I$5:$I$14)/400</f>
        <v>0.8475</v>
      </c>
    </row>
    <row r="22" customFormat="false" ht="15" hidden="false" customHeight="false" outlineLevel="0" collapsed="false">
      <c r="D22" s="46" t="s">
        <v>228</v>
      </c>
      <c r="F22" s="47" t="n">
        <f aca="false">SUMPRODUCT(Peta_Artefak!$H$5:$H$14,F9:F18)/400</f>
        <v>0</v>
      </c>
    </row>
    <row r="23" customFormat="false" ht="15" hidden="false" customHeight="false" outlineLevel="0" collapsed="false">
      <c r="D23" s="46" t="s">
        <v>229</v>
      </c>
      <c r="F23" s="47" t="n">
        <f aca="false">SUMPRODUCT(Peta_Artefak!$H$5:$H$14,N9:N18)/400</f>
        <v>0</v>
      </c>
    </row>
    <row r="24" customFormat="false" ht="15" hidden="false" customHeight="false" outlineLevel="0" collapsed="false">
      <c r="D24" s="46" t="s">
        <v>230</v>
      </c>
      <c r="F24" s="48" t="n">
        <f aca="false">IF(F21=0,0,F23/F21)</f>
        <v>0</v>
      </c>
    </row>
    <row r="25" customFormat="false" ht="15" hidden="false" customHeight="false" outlineLevel="0" collapsed="false">
      <c r="D25" s="46" t="s">
        <v>131</v>
      </c>
      <c r="F25" s="49" t="str">
        <f aca="false">IF(COUNT(L9:L18)=0,"Belum diverifikasi",IF(F24&gt;=Panduan_Dosen!$C$25,"On Track",IF(F24&gt;=Panduan_Dosen!$C$26,"Perlu Perhatian","Kritis")))</f>
        <v>Belum diverifikasi</v>
      </c>
    </row>
    <row r="26" customFormat="false" ht="15" hidden="false" customHeight="false" outlineLevel="0" collapsed="false">
      <c r="D26" s="46" t="s">
        <v>231</v>
      </c>
      <c r="F26" s="47" t="n">
        <f aca="false">F23*Panduan_Dosen!$C$14</f>
        <v>0</v>
      </c>
    </row>
    <row r="27" customFormat="false" ht="15" hidden="false" customHeight="false" outlineLevel="0" collapsed="false">
      <c r="D27" s="46" t="s">
        <v>232</v>
      </c>
      <c r="F27" s="50" t="n">
        <f aca="false">COUNTIF(P9:P18,"Overclaim")</f>
        <v>0</v>
      </c>
    </row>
    <row r="28" customFormat="false" ht="15" hidden="false" customHeight="false" outlineLevel="0" collapsed="false">
      <c r="D28" s="46" t="s">
        <v>233</v>
      </c>
      <c r="F28" s="50" t="n">
        <f aca="false">COUNTIF(P9:P18,"Belum diverifikasi")</f>
        <v>0</v>
      </c>
    </row>
    <row r="29" customFormat="false" ht="15" hidden="false" customHeight="false" outlineLevel="0" collapsed="false">
      <c r="D29" s="46" t="s">
        <v>234</v>
      </c>
      <c r="F29" s="51"/>
    </row>
    <row r="30" customFormat="false" ht="15" hidden="false" customHeight="false" outlineLevel="0" collapsed="false">
      <c r="D30" s="46" t="s">
        <v>235</v>
      </c>
      <c r="F30" s="51"/>
    </row>
    <row r="31" customFormat="false" ht="15" hidden="false" customHeight="false" outlineLevel="0" collapsed="false">
      <c r="D31" s="46" t="s">
        <v>236</v>
      </c>
      <c r="F31" s="51"/>
    </row>
    <row r="32" customFormat="false" ht="15" hidden="false" customHeight="false" outlineLevel="0" collapsed="false">
      <c r="D32" s="46" t="s">
        <v>237</v>
      </c>
      <c r="F32" s="51"/>
    </row>
    <row r="33" customFormat="false" ht="15" hidden="false" customHeight="false" outlineLevel="0" collapsed="false">
      <c r="D33" s="46" t="s">
        <v>238</v>
      </c>
      <c r="F33" s="51"/>
    </row>
    <row r="34" customFormat="false" ht="15" hidden="false" customHeight="false" outlineLevel="0" collapsed="false">
      <c r="D34" s="46" t="s">
        <v>239</v>
      </c>
      <c r="F34" s="51"/>
    </row>
    <row r="35" customFormat="false" ht="15" hidden="false" customHeight="false" outlineLevel="0" collapsed="false">
      <c r="D35" s="46" t="s">
        <v>240</v>
      </c>
      <c r="F35" s="51"/>
    </row>
    <row r="36" customFormat="false" ht="15" hidden="false" customHeight="false" outlineLevel="0" collapsed="false">
      <c r="D36" s="46" t="s">
        <v>241</v>
      </c>
      <c r="F36" s="52" t="str">
        <f aca="false">IF(COUNT(F29:F35)&lt;7,"",ROUND(SUMPRODUCT(F29:F35,Panduan_Dosen!$C$31:$C$37)/SUM(Panduan_Dosen!$C$31:$C$37)/5*100,1))</f>
        <v/>
      </c>
    </row>
    <row r="37" customFormat="false" ht="15" hidden="false" customHeight="false" outlineLevel="0" collapsed="false">
      <c r="D37" s="46" t="s">
        <v>242</v>
      </c>
      <c r="F37" s="51"/>
    </row>
    <row r="38" customFormat="false" ht="15" hidden="false" customHeight="false" outlineLevel="0" collapsed="false">
      <c r="D38" s="46" t="s">
        <v>243</v>
      </c>
      <c r="F38" s="51"/>
    </row>
    <row r="39" customFormat="false" ht="15" hidden="false" customHeight="false" outlineLevel="0" collapsed="false">
      <c r="D39" s="46" t="s">
        <v>244</v>
      </c>
      <c r="F39" s="51"/>
    </row>
    <row r="40" customFormat="false" ht="15" hidden="false" customHeight="false" outlineLevel="0" collapsed="false">
      <c r="D40" s="46" t="s">
        <v>245</v>
      </c>
      <c r="F40" s="51"/>
    </row>
    <row r="41" customFormat="false" ht="15" hidden="false" customHeight="false" outlineLevel="0" collapsed="false">
      <c r="D41" s="46" t="s">
        <v>246</v>
      </c>
      <c r="F41" s="52" t="str">
        <f aca="false">IF(COUNT(F37:F40)&lt;4,"",ROUND(SUMPRODUCT(F37:F40,Panduan_Dosen!$C$42:$C$45)/SUM(Panduan_Dosen!$C$42:$C$45)/5*100,1))</f>
        <v/>
      </c>
    </row>
    <row r="42" customFormat="false" ht="15" hidden="false" customHeight="false" outlineLevel="0" collapsed="false">
      <c r="D42" s="46" t="s">
        <v>247</v>
      </c>
      <c r="F42" s="52" t="str">
        <f aca="false">IF(OR(COUNT(L9:L18)=0,F36="",F41=""),"",ROUND(Panduan_Dosen!$C$18*MIN(F24,1)*100+Panduan_Dosen!$C$19*F36+Panduan_Dosen!$C$20*F41,1))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8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5">
    <cfRule type="expression" priority="4" aboveAverage="0" equalAverage="0" bottom="0" percent="0" rank="0" text="" dxfId="2">
      <formula>F25="On Track"</formula>
    </cfRule>
    <cfRule type="expression" priority="5" aboveAverage="0" equalAverage="0" bottom="0" percent="0" rank="0" text="" dxfId="1">
      <formula>F25="Perlu Perhatian"</formula>
    </cfRule>
    <cfRule type="expression" priority="6" aboveAverage="0" equalAverage="0" bottom="0" percent="0" rank="0" text="" dxfId="0">
      <formula>F25="Kritis"</formula>
    </cfRule>
  </conditionalFormatting>
  <dataValidations count="3">
    <dataValidation allowBlank="false" error="Isi angka 0–4" errorStyle="stop" operator="between" showDropDown="false" showErrorMessage="true" showInputMessage="false" sqref="F9:F18 L9:L18" type="whole">
      <formula1>0</formula1>
      <formula2>4</formula2>
    </dataValidation>
    <dataValidation allowBlank="true" errorStyle="stop" operator="between" showDropDown="false" showErrorMessage="false" showInputMessage="false" sqref="K9:K18" type="list">
      <formula1>"Ya,Tidak"</formula1>
      <formula2>0</formula2>
    </dataValidation>
    <dataValidation allowBlank="false" errorStyle="stop" operator="between" showDropDown="false" showErrorMessage="false" showInputMessage="false" sqref="F29:F35 F37:F4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206</v>
      </c>
    </row>
    <row r="2" customFormat="false" ht="15" hidden="false" customHeight="false" outlineLevel="0" collapsed="false">
      <c r="A2" s="32" t="s">
        <v>207</v>
      </c>
      <c r="B2" s="32"/>
      <c r="C2" s="32"/>
      <c r="D2" s="33" t="s">
        <v>248</v>
      </c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209</v>
      </c>
      <c r="B3" s="32"/>
      <c r="C3" s="32"/>
      <c r="D3" s="33" t="s">
        <v>249</v>
      </c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211</v>
      </c>
      <c r="B4" s="32"/>
      <c r="C4" s="32"/>
      <c r="D4" s="34"/>
      <c r="E4" s="34"/>
      <c r="F4" s="34"/>
      <c r="G4" s="34"/>
      <c r="H4" s="34"/>
      <c r="I4" s="34"/>
    </row>
    <row r="5" customFormat="false" ht="15" hidden="false" customHeight="false" outlineLevel="0" collapsed="false">
      <c r="A5" s="32" t="s">
        <v>212</v>
      </c>
      <c r="B5" s="32"/>
      <c r="C5" s="32"/>
      <c r="D5" s="35" t="s">
        <v>213</v>
      </c>
      <c r="E5" s="35"/>
      <c r="F5" s="35"/>
      <c r="G5" s="35"/>
      <c r="H5" s="35"/>
      <c r="I5" s="35"/>
    </row>
    <row r="7" customFormat="false" ht="15" hidden="false" customHeight="false" outlineLevel="0" collapsed="false">
      <c r="A7" s="36" t="s">
        <v>214</v>
      </c>
      <c r="B7" s="36"/>
      <c r="C7" s="36"/>
      <c r="D7" s="36"/>
      <c r="E7" s="36"/>
      <c r="F7" s="37" t="s">
        <v>215</v>
      </c>
      <c r="G7" s="37"/>
      <c r="H7" s="37"/>
      <c r="I7" s="37"/>
      <c r="J7" s="37"/>
      <c r="K7" s="38" t="s">
        <v>216</v>
      </c>
      <c r="L7" s="38"/>
      <c r="M7" s="38"/>
      <c r="N7" s="36" t="s">
        <v>217</v>
      </c>
      <c r="O7" s="36"/>
      <c r="P7" s="36"/>
    </row>
    <row r="8" customFormat="false" ht="42" hidden="false" customHeight="true" outlineLevel="0" collapsed="false">
      <c r="A8" s="5" t="s">
        <v>5</v>
      </c>
      <c r="B8" s="5" t="s">
        <v>173</v>
      </c>
      <c r="C8" s="5" t="s">
        <v>24</v>
      </c>
      <c r="D8" s="5" t="s">
        <v>174</v>
      </c>
      <c r="E8" s="5" t="s">
        <v>218</v>
      </c>
      <c r="F8" s="39" t="s">
        <v>219</v>
      </c>
      <c r="G8" s="39" t="s">
        <v>220</v>
      </c>
      <c r="H8" s="39" t="s">
        <v>93</v>
      </c>
      <c r="I8" s="39" t="s">
        <v>95</v>
      </c>
      <c r="J8" s="39" t="s">
        <v>97</v>
      </c>
      <c r="K8" s="40" t="s">
        <v>221</v>
      </c>
      <c r="L8" s="40" t="s">
        <v>222</v>
      </c>
      <c r="M8" s="40" t="s">
        <v>223</v>
      </c>
      <c r="N8" s="5" t="s">
        <v>224</v>
      </c>
      <c r="O8" s="5" t="s">
        <v>225</v>
      </c>
      <c r="P8" s="5" t="s">
        <v>226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1"/>
      <c r="G9" s="42"/>
      <c r="H9" s="42"/>
      <c r="I9" s="42"/>
      <c r="J9" s="42"/>
      <c r="K9" s="43"/>
      <c r="L9" s="43"/>
      <c r="M9" s="44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Statement &amp; Business Case</v>
      </c>
      <c r="E10" s="10" t="s">
        <v>35</v>
      </c>
      <c r="F10" s="41"/>
      <c r="G10" s="42"/>
      <c r="H10" s="42"/>
      <c r="I10" s="42"/>
      <c r="J10" s="42"/>
      <c r="K10" s="43"/>
      <c r="L10" s="43"/>
      <c r="M10" s="44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&amp; Engagement Plan</v>
      </c>
      <c r="E11" s="10" t="s">
        <v>39</v>
      </c>
      <c r="F11" s="41"/>
      <c r="G11" s="42"/>
      <c r="H11" s="42"/>
      <c r="I11" s="42"/>
      <c r="J11" s="42"/>
      <c r="K11" s="43"/>
      <c r="L11" s="43"/>
      <c r="M11" s="44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</v>
      </c>
      <c r="D12" s="8" t="str">
        <f aca="false">Peta_Artefak!D8</f>
        <v>Project Charter</v>
      </c>
      <c r="E12" s="10" t="s">
        <v>43</v>
      </c>
      <c r="F12" s="41"/>
      <c r="G12" s="42"/>
      <c r="H12" s="42"/>
      <c r="I12" s="42"/>
      <c r="J12" s="42"/>
      <c r="K12" s="43"/>
      <c r="L12" s="43"/>
      <c r="M12" s="44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6</v>
      </c>
      <c r="C13" s="9" t="str">
        <f aca="false">Peta_Artefak!C9</f>
        <v>M06a</v>
      </c>
      <c r="D13" s="8" t="str">
        <f aca="false">Peta_Artefak!D9</f>
        <v>Scope Statement</v>
      </c>
      <c r="E13" s="10" t="s">
        <v>46</v>
      </c>
      <c r="F13" s="41"/>
      <c r="G13" s="42"/>
      <c r="H13" s="42"/>
      <c r="I13" s="42"/>
      <c r="J13" s="42"/>
      <c r="K13" s="43"/>
      <c r="L13" s="43"/>
      <c r="M13" s="44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M06b</v>
      </c>
      <c r="D14" s="8" t="str">
        <f aca="false">Peta_Artefak!D10</f>
        <v>Work Breakdown Structure</v>
      </c>
      <c r="E14" s="10" t="s">
        <v>50</v>
      </c>
      <c r="F14" s="41"/>
      <c r="G14" s="42"/>
      <c r="H14" s="42"/>
      <c r="I14" s="42"/>
      <c r="J14" s="42"/>
      <c r="K14" s="43"/>
      <c r="L14" s="43"/>
      <c r="M14" s="44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M06c</v>
      </c>
      <c r="D15" s="8" t="str">
        <f aca="false">Peta_Artefak!D11</f>
        <v>Model Kebutuhan (Use Case)</v>
      </c>
      <c r="E15" s="10" t="s">
        <v>53</v>
      </c>
      <c r="F15" s="41"/>
      <c r="G15" s="42"/>
      <c r="H15" s="42"/>
      <c r="I15" s="42"/>
      <c r="J15" s="42"/>
      <c r="K15" s="43"/>
      <c r="L15" s="43"/>
      <c r="M15" s="44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</v>
      </c>
      <c r="D16" s="8" t="str">
        <f aca="false">Peta_Artefak!D12</f>
        <v>Jadwal Proyek (Timeline/Gantt)</v>
      </c>
      <c r="E16" s="10" t="s">
        <v>57</v>
      </c>
      <c r="F16" s="41"/>
      <c r="G16" s="42"/>
      <c r="H16" s="42"/>
      <c r="I16" s="42"/>
      <c r="J16" s="42"/>
      <c r="K16" s="43"/>
      <c r="L16" s="43"/>
      <c r="M16" s="44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8</v>
      </c>
      <c r="C17" s="9" t="str">
        <f aca="false">Peta_Artefak!C13</f>
        <v>M08a</v>
      </c>
      <c r="D17" s="8" t="str">
        <f aca="false">Peta_Artefak!D13</f>
        <v>Laporan Tengah Semester (LTS)</v>
      </c>
      <c r="E17" s="10" t="s">
        <v>61</v>
      </c>
      <c r="F17" s="41"/>
      <c r="G17" s="42"/>
      <c r="H17" s="42"/>
      <c r="I17" s="42"/>
      <c r="J17" s="42"/>
      <c r="K17" s="43"/>
      <c r="L17" s="43"/>
      <c r="M17" s="44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M08b</v>
      </c>
      <c r="D18" s="8" t="str">
        <f aca="false">Peta_Artefak!D14</f>
        <v>Slide Presentasi LTS</v>
      </c>
      <c r="E18" s="10" t="s">
        <v>65</v>
      </c>
      <c r="F18" s="41"/>
      <c r="G18" s="42"/>
      <c r="H18" s="42"/>
      <c r="I18" s="42"/>
      <c r="J18" s="42"/>
      <c r="K18" s="43"/>
      <c r="L18" s="43"/>
      <c r="M18" s="44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20" customFormat="false" ht="15" hidden="false" customHeight="false" outlineLevel="0" collapsed="false">
      <c r="D20" s="45" t="s">
        <v>227</v>
      </c>
    </row>
    <row r="21" customFormat="false" ht="15" hidden="false" customHeight="false" outlineLevel="0" collapsed="false">
      <c r="D21" s="46" t="s">
        <v>205</v>
      </c>
      <c r="F21" s="47" t="n">
        <f aca="false">SUMPRODUCT(Peta_Artefak!$H$5:$H$14,Peta_Artefak!$I$5:$I$14)/400</f>
        <v>0.8475</v>
      </c>
    </row>
    <row r="22" customFormat="false" ht="15" hidden="false" customHeight="false" outlineLevel="0" collapsed="false">
      <c r="D22" s="46" t="s">
        <v>228</v>
      </c>
      <c r="F22" s="47" t="n">
        <f aca="false">SUMPRODUCT(Peta_Artefak!$H$5:$H$14,F9:F18)/400</f>
        <v>0</v>
      </c>
    </row>
    <row r="23" customFormat="false" ht="15" hidden="false" customHeight="false" outlineLevel="0" collapsed="false">
      <c r="D23" s="46" t="s">
        <v>229</v>
      </c>
      <c r="F23" s="47" t="n">
        <f aca="false">SUMPRODUCT(Peta_Artefak!$H$5:$H$14,N9:N18)/400</f>
        <v>0</v>
      </c>
    </row>
    <row r="24" customFormat="false" ht="15" hidden="false" customHeight="false" outlineLevel="0" collapsed="false">
      <c r="D24" s="46" t="s">
        <v>230</v>
      </c>
      <c r="F24" s="48" t="n">
        <f aca="false">IF(F21=0,0,F23/F21)</f>
        <v>0</v>
      </c>
    </row>
    <row r="25" customFormat="false" ht="15" hidden="false" customHeight="false" outlineLevel="0" collapsed="false">
      <c r="D25" s="46" t="s">
        <v>131</v>
      </c>
      <c r="F25" s="49" t="str">
        <f aca="false">IF(COUNT(L9:L18)=0,"Belum diverifikasi",IF(F24&gt;=Panduan_Dosen!$C$25,"On Track",IF(F24&gt;=Panduan_Dosen!$C$26,"Perlu Perhatian","Kritis")))</f>
        <v>Belum diverifikasi</v>
      </c>
    </row>
    <row r="26" customFormat="false" ht="15" hidden="false" customHeight="false" outlineLevel="0" collapsed="false">
      <c r="D26" s="46" t="s">
        <v>231</v>
      </c>
      <c r="F26" s="47" t="n">
        <f aca="false">F23*Panduan_Dosen!$C$14</f>
        <v>0</v>
      </c>
    </row>
    <row r="27" customFormat="false" ht="15" hidden="false" customHeight="false" outlineLevel="0" collapsed="false">
      <c r="D27" s="46" t="s">
        <v>232</v>
      </c>
      <c r="F27" s="50" t="n">
        <f aca="false">COUNTIF(P9:P18,"Overclaim")</f>
        <v>0</v>
      </c>
    </row>
    <row r="28" customFormat="false" ht="15" hidden="false" customHeight="false" outlineLevel="0" collapsed="false">
      <c r="D28" s="46" t="s">
        <v>233</v>
      </c>
      <c r="F28" s="50" t="n">
        <f aca="false">COUNTIF(P9:P18,"Belum diverifikasi")</f>
        <v>0</v>
      </c>
    </row>
    <row r="29" customFormat="false" ht="15" hidden="false" customHeight="false" outlineLevel="0" collapsed="false">
      <c r="D29" s="46" t="s">
        <v>234</v>
      </c>
      <c r="F29" s="51"/>
    </row>
    <row r="30" customFormat="false" ht="15" hidden="false" customHeight="false" outlineLevel="0" collapsed="false">
      <c r="D30" s="46" t="s">
        <v>235</v>
      </c>
      <c r="F30" s="51"/>
    </row>
    <row r="31" customFormat="false" ht="15" hidden="false" customHeight="false" outlineLevel="0" collapsed="false">
      <c r="D31" s="46" t="s">
        <v>236</v>
      </c>
      <c r="F31" s="51"/>
    </row>
    <row r="32" customFormat="false" ht="15" hidden="false" customHeight="false" outlineLevel="0" collapsed="false">
      <c r="D32" s="46" t="s">
        <v>237</v>
      </c>
      <c r="F32" s="51"/>
    </row>
    <row r="33" customFormat="false" ht="15" hidden="false" customHeight="false" outlineLevel="0" collapsed="false">
      <c r="D33" s="46" t="s">
        <v>238</v>
      </c>
      <c r="F33" s="51"/>
    </row>
    <row r="34" customFormat="false" ht="15" hidden="false" customHeight="false" outlineLevel="0" collapsed="false">
      <c r="D34" s="46" t="s">
        <v>239</v>
      </c>
      <c r="F34" s="51"/>
    </row>
    <row r="35" customFormat="false" ht="15" hidden="false" customHeight="false" outlineLevel="0" collapsed="false">
      <c r="D35" s="46" t="s">
        <v>240</v>
      </c>
      <c r="F35" s="51"/>
    </row>
    <row r="36" customFormat="false" ht="15" hidden="false" customHeight="false" outlineLevel="0" collapsed="false">
      <c r="D36" s="46" t="s">
        <v>241</v>
      </c>
      <c r="F36" s="52" t="str">
        <f aca="false">IF(COUNT(F29:F35)&lt;7,"",ROUND(SUMPRODUCT(F29:F35,Panduan_Dosen!$C$31:$C$37)/SUM(Panduan_Dosen!$C$31:$C$37)/5*100,1))</f>
        <v/>
      </c>
    </row>
    <row r="37" customFormat="false" ht="15" hidden="false" customHeight="false" outlineLevel="0" collapsed="false">
      <c r="D37" s="46" t="s">
        <v>242</v>
      </c>
      <c r="F37" s="51"/>
    </row>
    <row r="38" customFormat="false" ht="15" hidden="false" customHeight="false" outlineLevel="0" collapsed="false">
      <c r="D38" s="46" t="s">
        <v>243</v>
      </c>
      <c r="F38" s="51"/>
    </row>
    <row r="39" customFormat="false" ht="15" hidden="false" customHeight="false" outlineLevel="0" collapsed="false">
      <c r="D39" s="46" t="s">
        <v>244</v>
      </c>
      <c r="F39" s="51"/>
    </row>
    <row r="40" customFormat="false" ht="15" hidden="false" customHeight="false" outlineLevel="0" collapsed="false">
      <c r="D40" s="46" t="s">
        <v>245</v>
      </c>
      <c r="F40" s="51"/>
    </row>
    <row r="41" customFormat="false" ht="15" hidden="false" customHeight="false" outlineLevel="0" collapsed="false">
      <c r="D41" s="46" t="s">
        <v>246</v>
      </c>
      <c r="F41" s="52" t="str">
        <f aca="false">IF(COUNT(F37:F40)&lt;4,"",ROUND(SUMPRODUCT(F37:F40,Panduan_Dosen!$C$42:$C$45)/SUM(Panduan_Dosen!$C$42:$C$45)/5*100,1))</f>
        <v/>
      </c>
    </row>
    <row r="42" customFormat="false" ht="15" hidden="false" customHeight="false" outlineLevel="0" collapsed="false">
      <c r="D42" s="46" t="s">
        <v>247</v>
      </c>
      <c r="F42" s="52" t="str">
        <f aca="false">IF(OR(COUNT(L9:L18)=0,F36="",F41=""),"",ROUND(Panduan_Dosen!$C$18*MIN(F24,1)*100+Panduan_Dosen!$C$19*F36+Panduan_Dosen!$C$20*F41,1))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8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5">
    <cfRule type="expression" priority="4" aboveAverage="0" equalAverage="0" bottom="0" percent="0" rank="0" text="" dxfId="2">
      <formula>F25="On Track"</formula>
    </cfRule>
    <cfRule type="expression" priority="5" aboveAverage="0" equalAverage="0" bottom="0" percent="0" rank="0" text="" dxfId="1">
      <formula>F25="Perlu Perhatian"</formula>
    </cfRule>
    <cfRule type="expression" priority="6" aboveAverage="0" equalAverage="0" bottom="0" percent="0" rank="0" text="" dxfId="0">
      <formula>F25="Kritis"</formula>
    </cfRule>
  </conditionalFormatting>
  <dataValidations count="3">
    <dataValidation allowBlank="false" error="Isi angka 0–4" errorStyle="stop" operator="between" showDropDown="false" showErrorMessage="true" showInputMessage="false" sqref="F9:F18 L9:L18" type="whole">
      <formula1>0</formula1>
      <formula2>4</formula2>
    </dataValidation>
    <dataValidation allowBlank="false" errorStyle="stop" operator="between" showDropDown="false" showErrorMessage="false" showInputMessage="false" sqref="F29:F35 F37:F40" type="whole">
      <formula1>1</formula1>
      <formula2>5</formula2>
    </dataValidation>
    <dataValidation allowBlank="true" errorStyle="stop" operator="between" showDropDown="false" showErrorMessage="false" showInputMessage="false" sqref="K9:K18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206</v>
      </c>
    </row>
    <row r="2" customFormat="false" ht="15" hidden="false" customHeight="false" outlineLevel="0" collapsed="false">
      <c r="A2" s="32" t="s">
        <v>207</v>
      </c>
      <c r="B2" s="32"/>
      <c r="C2" s="32"/>
      <c r="D2" s="33" t="s">
        <v>250</v>
      </c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209</v>
      </c>
      <c r="B3" s="32"/>
      <c r="C3" s="32"/>
      <c r="D3" s="33" t="s">
        <v>251</v>
      </c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211</v>
      </c>
      <c r="B4" s="32"/>
      <c r="C4" s="32"/>
      <c r="D4" s="34"/>
      <c r="E4" s="34"/>
      <c r="F4" s="34"/>
      <c r="G4" s="34"/>
      <c r="H4" s="34"/>
      <c r="I4" s="34"/>
    </row>
    <row r="5" customFormat="false" ht="15" hidden="false" customHeight="false" outlineLevel="0" collapsed="false">
      <c r="A5" s="32" t="s">
        <v>212</v>
      </c>
      <c r="B5" s="32"/>
      <c r="C5" s="32"/>
      <c r="D5" s="35" t="s">
        <v>213</v>
      </c>
      <c r="E5" s="35"/>
      <c r="F5" s="35"/>
      <c r="G5" s="35"/>
      <c r="H5" s="35"/>
      <c r="I5" s="35"/>
    </row>
    <row r="7" customFormat="false" ht="15" hidden="false" customHeight="false" outlineLevel="0" collapsed="false">
      <c r="A7" s="36" t="s">
        <v>214</v>
      </c>
      <c r="B7" s="36"/>
      <c r="C7" s="36"/>
      <c r="D7" s="36"/>
      <c r="E7" s="36"/>
      <c r="F7" s="37" t="s">
        <v>215</v>
      </c>
      <c r="G7" s="37"/>
      <c r="H7" s="37"/>
      <c r="I7" s="37"/>
      <c r="J7" s="37"/>
      <c r="K7" s="38" t="s">
        <v>216</v>
      </c>
      <c r="L7" s="38"/>
      <c r="M7" s="38"/>
      <c r="N7" s="36" t="s">
        <v>217</v>
      </c>
      <c r="O7" s="36"/>
      <c r="P7" s="36"/>
    </row>
    <row r="8" customFormat="false" ht="42" hidden="false" customHeight="true" outlineLevel="0" collapsed="false">
      <c r="A8" s="5" t="s">
        <v>5</v>
      </c>
      <c r="B8" s="5" t="s">
        <v>173</v>
      </c>
      <c r="C8" s="5" t="s">
        <v>24</v>
      </c>
      <c r="D8" s="5" t="s">
        <v>174</v>
      </c>
      <c r="E8" s="5" t="s">
        <v>218</v>
      </c>
      <c r="F8" s="39" t="s">
        <v>219</v>
      </c>
      <c r="G8" s="39" t="s">
        <v>220</v>
      </c>
      <c r="H8" s="39" t="s">
        <v>93</v>
      </c>
      <c r="I8" s="39" t="s">
        <v>95</v>
      </c>
      <c r="J8" s="39" t="s">
        <v>97</v>
      </c>
      <c r="K8" s="40" t="s">
        <v>221</v>
      </c>
      <c r="L8" s="40" t="s">
        <v>222</v>
      </c>
      <c r="M8" s="40" t="s">
        <v>223</v>
      </c>
      <c r="N8" s="5" t="s">
        <v>224</v>
      </c>
      <c r="O8" s="5" t="s">
        <v>225</v>
      </c>
      <c r="P8" s="5" t="s">
        <v>226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1"/>
      <c r="G9" s="42"/>
      <c r="H9" s="42"/>
      <c r="I9" s="42"/>
      <c r="J9" s="42"/>
      <c r="K9" s="43"/>
      <c r="L9" s="43"/>
      <c r="M9" s="44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Statement &amp; Business Case</v>
      </c>
      <c r="E10" s="10" t="s">
        <v>35</v>
      </c>
      <c r="F10" s="41"/>
      <c r="G10" s="42"/>
      <c r="H10" s="42"/>
      <c r="I10" s="42"/>
      <c r="J10" s="42"/>
      <c r="K10" s="43"/>
      <c r="L10" s="43"/>
      <c r="M10" s="44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&amp; Engagement Plan</v>
      </c>
      <c r="E11" s="10" t="s">
        <v>39</v>
      </c>
      <c r="F11" s="41"/>
      <c r="G11" s="42"/>
      <c r="H11" s="42"/>
      <c r="I11" s="42"/>
      <c r="J11" s="42"/>
      <c r="K11" s="43"/>
      <c r="L11" s="43"/>
      <c r="M11" s="44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</v>
      </c>
      <c r="D12" s="8" t="str">
        <f aca="false">Peta_Artefak!D8</f>
        <v>Project Charter</v>
      </c>
      <c r="E12" s="10" t="s">
        <v>43</v>
      </c>
      <c r="F12" s="41"/>
      <c r="G12" s="42"/>
      <c r="H12" s="42"/>
      <c r="I12" s="42"/>
      <c r="J12" s="42"/>
      <c r="K12" s="43"/>
      <c r="L12" s="43"/>
      <c r="M12" s="44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6</v>
      </c>
      <c r="C13" s="9" t="str">
        <f aca="false">Peta_Artefak!C9</f>
        <v>M06a</v>
      </c>
      <c r="D13" s="8" t="str">
        <f aca="false">Peta_Artefak!D9</f>
        <v>Scope Statement</v>
      </c>
      <c r="E13" s="10" t="s">
        <v>46</v>
      </c>
      <c r="F13" s="41"/>
      <c r="G13" s="42"/>
      <c r="H13" s="42"/>
      <c r="I13" s="42"/>
      <c r="J13" s="42"/>
      <c r="K13" s="43"/>
      <c r="L13" s="43"/>
      <c r="M13" s="44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M06b</v>
      </c>
      <c r="D14" s="8" t="str">
        <f aca="false">Peta_Artefak!D10</f>
        <v>Work Breakdown Structure</v>
      </c>
      <c r="E14" s="10" t="s">
        <v>50</v>
      </c>
      <c r="F14" s="41"/>
      <c r="G14" s="42"/>
      <c r="H14" s="42"/>
      <c r="I14" s="42"/>
      <c r="J14" s="42"/>
      <c r="K14" s="43"/>
      <c r="L14" s="43"/>
      <c r="M14" s="44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M06c</v>
      </c>
      <c r="D15" s="8" t="str">
        <f aca="false">Peta_Artefak!D11</f>
        <v>Model Kebutuhan (Use Case)</v>
      </c>
      <c r="E15" s="10" t="s">
        <v>53</v>
      </c>
      <c r="F15" s="41"/>
      <c r="G15" s="42"/>
      <c r="H15" s="42"/>
      <c r="I15" s="42"/>
      <c r="J15" s="42"/>
      <c r="K15" s="43"/>
      <c r="L15" s="43"/>
      <c r="M15" s="44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</v>
      </c>
      <c r="D16" s="8" t="str">
        <f aca="false">Peta_Artefak!D12</f>
        <v>Jadwal Proyek (Timeline/Gantt)</v>
      </c>
      <c r="E16" s="10" t="s">
        <v>57</v>
      </c>
      <c r="F16" s="41"/>
      <c r="G16" s="42"/>
      <c r="H16" s="42"/>
      <c r="I16" s="42"/>
      <c r="J16" s="42"/>
      <c r="K16" s="43"/>
      <c r="L16" s="43"/>
      <c r="M16" s="44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8</v>
      </c>
      <c r="C17" s="9" t="str">
        <f aca="false">Peta_Artefak!C13</f>
        <v>M08a</v>
      </c>
      <c r="D17" s="8" t="str">
        <f aca="false">Peta_Artefak!D13</f>
        <v>Laporan Tengah Semester (LTS)</v>
      </c>
      <c r="E17" s="10" t="s">
        <v>61</v>
      </c>
      <c r="F17" s="41"/>
      <c r="G17" s="42"/>
      <c r="H17" s="42"/>
      <c r="I17" s="42"/>
      <c r="J17" s="42"/>
      <c r="K17" s="43"/>
      <c r="L17" s="43"/>
      <c r="M17" s="44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M08b</v>
      </c>
      <c r="D18" s="8" t="str">
        <f aca="false">Peta_Artefak!D14</f>
        <v>Slide Presentasi LTS</v>
      </c>
      <c r="E18" s="10" t="s">
        <v>65</v>
      </c>
      <c r="F18" s="41"/>
      <c r="G18" s="42"/>
      <c r="H18" s="42"/>
      <c r="I18" s="42"/>
      <c r="J18" s="42"/>
      <c r="K18" s="43"/>
      <c r="L18" s="43"/>
      <c r="M18" s="44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20" customFormat="false" ht="15" hidden="false" customHeight="false" outlineLevel="0" collapsed="false">
      <c r="D20" s="45" t="s">
        <v>227</v>
      </c>
    </row>
    <row r="21" customFormat="false" ht="15" hidden="false" customHeight="false" outlineLevel="0" collapsed="false">
      <c r="D21" s="46" t="s">
        <v>205</v>
      </c>
      <c r="F21" s="47" t="n">
        <f aca="false">SUMPRODUCT(Peta_Artefak!$H$5:$H$14,Peta_Artefak!$I$5:$I$14)/400</f>
        <v>0.8475</v>
      </c>
    </row>
    <row r="22" customFormat="false" ht="15" hidden="false" customHeight="false" outlineLevel="0" collapsed="false">
      <c r="D22" s="46" t="s">
        <v>228</v>
      </c>
      <c r="F22" s="47" t="n">
        <f aca="false">SUMPRODUCT(Peta_Artefak!$H$5:$H$14,F9:F18)/400</f>
        <v>0</v>
      </c>
    </row>
    <row r="23" customFormat="false" ht="15" hidden="false" customHeight="false" outlineLevel="0" collapsed="false">
      <c r="D23" s="46" t="s">
        <v>229</v>
      </c>
      <c r="F23" s="47" t="n">
        <f aca="false">SUMPRODUCT(Peta_Artefak!$H$5:$H$14,N9:N18)/400</f>
        <v>0</v>
      </c>
    </row>
    <row r="24" customFormat="false" ht="15" hidden="false" customHeight="false" outlineLevel="0" collapsed="false">
      <c r="D24" s="46" t="s">
        <v>230</v>
      </c>
      <c r="F24" s="48" t="n">
        <f aca="false">IF(F21=0,0,F23/F21)</f>
        <v>0</v>
      </c>
    </row>
    <row r="25" customFormat="false" ht="15" hidden="false" customHeight="false" outlineLevel="0" collapsed="false">
      <c r="D25" s="46" t="s">
        <v>131</v>
      </c>
      <c r="F25" s="49" t="str">
        <f aca="false">IF(COUNT(L9:L18)=0,"Belum diverifikasi",IF(F24&gt;=Panduan_Dosen!$C$25,"On Track",IF(F24&gt;=Panduan_Dosen!$C$26,"Perlu Perhatian","Kritis")))</f>
        <v>Belum diverifikasi</v>
      </c>
    </row>
    <row r="26" customFormat="false" ht="15" hidden="false" customHeight="false" outlineLevel="0" collapsed="false">
      <c r="D26" s="46" t="s">
        <v>231</v>
      </c>
      <c r="F26" s="47" t="n">
        <f aca="false">F23*Panduan_Dosen!$C$14</f>
        <v>0</v>
      </c>
    </row>
    <row r="27" customFormat="false" ht="15" hidden="false" customHeight="false" outlineLevel="0" collapsed="false">
      <c r="D27" s="46" t="s">
        <v>232</v>
      </c>
      <c r="F27" s="50" t="n">
        <f aca="false">COUNTIF(P9:P18,"Overclaim")</f>
        <v>0</v>
      </c>
    </row>
    <row r="28" customFormat="false" ht="15" hidden="false" customHeight="false" outlineLevel="0" collapsed="false">
      <c r="D28" s="46" t="s">
        <v>233</v>
      </c>
      <c r="F28" s="50" t="n">
        <f aca="false">COUNTIF(P9:P18,"Belum diverifikasi")</f>
        <v>0</v>
      </c>
    </row>
    <row r="29" customFormat="false" ht="15" hidden="false" customHeight="false" outlineLevel="0" collapsed="false">
      <c r="D29" s="46" t="s">
        <v>234</v>
      </c>
      <c r="F29" s="51"/>
    </row>
    <row r="30" customFormat="false" ht="15" hidden="false" customHeight="false" outlineLevel="0" collapsed="false">
      <c r="D30" s="46" t="s">
        <v>235</v>
      </c>
      <c r="F30" s="51"/>
    </row>
    <row r="31" customFormat="false" ht="15" hidden="false" customHeight="false" outlineLevel="0" collapsed="false">
      <c r="D31" s="46" t="s">
        <v>236</v>
      </c>
      <c r="F31" s="51"/>
    </row>
    <row r="32" customFormat="false" ht="15" hidden="false" customHeight="false" outlineLevel="0" collapsed="false">
      <c r="D32" s="46" t="s">
        <v>237</v>
      </c>
      <c r="F32" s="51"/>
    </row>
    <row r="33" customFormat="false" ht="15" hidden="false" customHeight="false" outlineLevel="0" collapsed="false">
      <c r="D33" s="46" t="s">
        <v>238</v>
      </c>
      <c r="F33" s="51"/>
    </row>
    <row r="34" customFormat="false" ht="15" hidden="false" customHeight="false" outlineLevel="0" collapsed="false">
      <c r="D34" s="46" t="s">
        <v>239</v>
      </c>
      <c r="F34" s="51"/>
    </row>
    <row r="35" customFormat="false" ht="15" hidden="false" customHeight="false" outlineLevel="0" collapsed="false">
      <c r="D35" s="46" t="s">
        <v>240</v>
      </c>
      <c r="F35" s="51"/>
    </row>
    <row r="36" customFormat="false" ht="15" hidden="false" customHeight="false" outlineLevel="0" collapsed="false">
      <c r="D36" s="46" t="s">
        <v>241</v>
      </c>
      <c r="F36" s="52" t="str">
        <f aca="false">IF(COUNT(F29:F35)&lt;7,"",ROUND(SUMPRODUCT(F29:F35,Panduan_Dosen!$C$31:$C$37)/SUM(Panduan_Dosen!$C$31:$C$37)/5*100,1))</f>
        <v/>
      </c>
    </row>
    <row r="37" customFormat="false" ht="15" hidden="false" customHeight="false" outlineLevel="0" collapsed="false">
      <c r="D37" s="46" t="s">
        <v>242</v>
      </c>
      <c r="F37" s="51"/>
    </row>
    <row r="38" customFormat="false" ht="15" hidden="false" customHeight="false" outlineLevel="0" collapsed="false">
      <c r="D38" s="46" t="s">
        <v>243</v>
      </c>
      <c r="F38" s="51"/>
    </row>
    <row r="39" customFormat="false" ht="15" hidden="false" customHeight="false" outlineLevel="0" collapsed="false">
      <c r="D39" s="46" t="s">
        <v>244</v>
      </c>
      <c r="F39" s="51"/>
    </row>
    <row r="40" customFormat="false" ht="15" hidden="false" customHeight="false" outlineLevel="0" collapsed="false">
      <c r="D40" s="46" t="s">
        <v>245</v>
      </c>
      <c r="F40" s="51"/>
    </row>
    <row r="41" customFormat="false" ht="15" hidden="false" customHeight="false" outlineLevel="0" collapsed="false">
      <c r="D41" s="46" t="s">
        <v>246</v>
      </c>
      <c r="F41" s="52" t="str">
        <f aca="false">IF(COUNT(F37:F40)&lt;4,"",ROUND(SUMPRODUCT(F37:F40,Panduan_Dosen!$C$42:$C$45)/SUM(Panduan_Dosen!$C$42:$C$45)/5*100,1))</f>
        <v/>
      </c>
    </row>
    <row r="42" customFormat="false" ht="15" hidden="false" customHeight="false" outlineLevel="0" collapsed="false">
      <c r="D42" s="46" t="s">
        <v>247</v>
      </c>
      <c r="F42" s="52" t="str">
        <f aca="false">IF(OR(COUNT(L9:L18)=0,F36="",F41=""),"",ROUND(Panduan_Dosen!$C$18*MIN(F24,1)*100+Panduan_Dosen!$C$19*F36+Panduan_Dosen!$C$20*F41,1))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8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5">
    <cfRule type="expression" priority="4" aboveAverage="0" equalAverage="0" bottom="0" percent="0" rank="0" text="" dxfId="2">
      <formula>F25="On Track"</formula>
    </cfRule>
    <cfRule type="expression" priority="5" aboveAverage="0" equalAverage="0" bottom="0" percent="0" rank="0" text="" dxfId="1">
      <formula>F25="Perlu Perhatian"</formula>
    </cfRule>
    <cfRule type="expression" priority="6" aboveAverage="0" equalAverage="0" bottom="0" percent="0" rank="0" text="" dxfId="0">
      <formula>F25="Kritis"</formula>
    </cfRule>
  </conditionalFormatting>
  <dataValidations count="3">
    <dataValidation allowBlank="false" error="Isi angka 0–4" errorStyle="stop" operator="between" showDropDown="false" showErrorMessage="true" showInputMessage="false" sqref="F9:F18 L9:L18" type="whole">
      <formula1>0</formula1>
      <formula2>4</formula2>
    </dataValidation>
    <dataValidation allowBlank="false" errorStyle="stop" operator="between" showDropDown="false" showErrorMessage="false" showInputMessage="false" sqref="F29:F35 F37:F40" type="whole">
      <formula1>1</formula1>
      <formula2>5</formula2>
    </dataValidation>
    <dataValidation allowBlank="true" errorStyle="stop" operator="between" showDropDown="false" showErrorMessage="false" showInputMessage="false" sqref="K9:K18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206</v>
      </c>
    </row>
    <row r="2" customFormat="false" ht="15" hidden="false" customHeight="false" outlineLevel="0" collapsed="false">
      <c r="A2" s="32" t="s">
        <v>207</v>
      </c>
      <c r="B2" s="32"/>
      <c r="C2" s="32"/>
      <c r="D2" s="33" t="s">
        <v>252</v>
      </c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209</v>
      </c>
      <c r="B3" s="32"/>
      <c r="C3" s="32"/>
      <c r="D3" s="33" t="s">
        <v>253</v>
      </c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211</v>
      </c>
      <c r="B4" s="32"/>
      <c r="C4" s="32"/>
      <c r="D4" s="34"/>
      <c r="E4" s="34"/>
      <c r="F4" s="34"/>
      <c r="G4" s="34"/>
      <c r="H4" s="34"/>
      <c r="I4" s="34"/>
    </row>
    <row r="5" customFormat="false" ht="15" hidden="false" customHeight="false" outlineLevel="0" collapsed="false">
      <c r="A5" s="32" t="s">
        <v>212</v>
      </c>
      <c r="B5" s="32"/>
      <c r="C5" s="32"/>
      <c r="D5" s="35" t="s">
        <v>213</v>
      </c>
      <c r="E5" s="35"/>
      <c r="F5" s="35"/>
      <c r="G5" s="35"/>
      <c r="H5" s="35"/>
      <c r="I5" s="35"/>
    </row>
    <row r="7" customFormat="false" ht="15" hidden="false" customHeight="false" outlineLevel="0" collapsed="false">
      <c r="A7" s="36" t="s">
        <v>214</v>
      </c>
      <c r="B7" s="36"/>
      <c r="C7" s="36"/>
      <c r="D7" s="36"/>
      <c r="E7" s="36"/>
      <c r="F7" s="37" t="s">
        <v>215</v>
      </c>
      <c r="G7" s="37"/>
      <c r="H7" s="37"/>
      <c r="I7" s="37"/>
      <c r="J7" s="37"/>
      <c r="K7" s="38" t="s">
        <v>216</v>
      </c>
      <c r="L7" s="38"/>
      <c r="M7" s="38"/>
      <c r="N7" s="36" t="s">
        <v>217</v>
      </c>
      <c r="O7" s="36"/>
      <c r="P7" s="36"/>
    </row>
    <row r="8" customFormat="false" ht="42" hidden="false" customHeight="true" outlineLevel="0" collapsed="false">
      <c r="A8" s="5" t="s">
        <v>5</v>
      </c>
      <c r="B8" s="5" t="s">
        <v>173</v>
      </c>
      <c r="C8" s="5" t="s">
        <v>24</v>
      </c>
      <c r="D8" s="5" t="s">
        <v>174</v>
      </c>
      <c r="E8" s="5" t="s">
        <v>218</v>
      </c>
      <c r="F8" s="39" t="s">
        <v>219</v>
      </c>
      <c r="G8" s="39" t="s">
        <v>220</v>
      </c>
      <c r="H8" s="39" t="s">
        <v>93</v>
      </c>
      <c r="I8" s="39" t="s">
        <v>95</v>
      </c>
      <c r="J8" s="39" t="s">
        <v>97</v>
      </c>
      <c r="K8" s="40" t="s">
        <v>221</v>
      </c>
      <c r="L8" s="40" t="s">
        <v>222</v>
      </c>
      <c r="M8" s="40" t="s">
        <v>223</v>
      </c>
      <c r="N8" s="5" t="s">
        <v>224</v>
      </c>
      <c r="O8" s="5" t="s">
        <v>225</v>
      </c>
      <c r="P8" s="5" t="s">
        <v>226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1"/>
      <c r="G9" s="42"/>
      <c r="H9" s="42"/>
      <c r="I9" s="42"/>
      <c r="J9" s="42"/>
      <c r="K9" s="43"/>
      <c r="L9" s="43"/>
      <c r="M9" s="44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Statement &amp; Business Case</v>
      </c>
      <c r="E10" s="10" t="s">
        <v>35</v>
      </c>
      <c r="F10" s="41"/>
      <c r="G10" s="42"/>
      <c r="H10" s="42"/>
      <c r="I10" s="42"/>
      <c r="J10" s="42"/>
      <c r="K10" s="43"/>
      <c r="L10" s="43"/>
      <c r="M10" s="44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&amp; Engagement Plan</v>
      </c>
      <c r="E11" s="10" t="s">
        <v>39</v>
      </c>
      <c r="F11" s="41"/>
      <c r="G11" s="42"/>
      <c r="H11" s="42"/>
      <c r="I11" s="42"/>
      <c r="J11" s="42"/>
      <c r="K11" s="43"/>
      <c r="L11" s="43"/>
      <c r="M11" s="44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</v>
      </c>
      <c r="D12" s="8" t="str">
        <f aca="false">Peta_Artefak!D8</f>
        <v>Project Charter</v>
      </c>
      <c r="E12" s="10" t="s">
        <v>43</v>
      </c>
      <c r="F12" s="41"/>
      <c r="G12" s="42"/>
      <c r="H12" s="42"/>
      <c r="I12" s="42"/>
      <c r="J12" s="42"/>
      <c r="K12" s="43"/>
      <c r="L12" s="43"/>
      <c r="M12" s="44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6</v>
      </c>
      <c r="C13" s="9" t="str">
        <f aca="false">Peta_Artefak!C9</f>
        <v>M06a</v>
      </c>
      <c r="D13" s="8" t="str">
        <f aca="false">Peta_Artefak!D9</f>
        <v>Scope Statement</v>
      </c>
      <c r="E13" s="10" t="s">
        <v>46</v>
      </c>
      <c r="F13" s="41"/>
      <c r="G13" s="42"/>
      <c r="H13" s="42"/>
      <c r="I13" s="42"/>
      <c r="J13" s="42"/>
      <c r="K13" s="43"/>
      <c r="L13" s="43"/>
      <c r="M13" s="44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M06b</v>
      </c>
      <c r="D14" s="8" t="str">
        <f aca="false">Peta_Artefak!D10</f>
        <v>Work Breakdown Structure</v>
      </c>
      <c r="E14" s="10" t="s">
        <v>50</v>
      </c>
      <c r="F14" s="41"/>
      <c r="G14" s="42"/>
      <c r="H14" s="42"/>
      <c r="I14" s="42"/>
      <c r="J14" s="42"/>
      <c r="K14" s="43"/>
      <c r="L14" s="43"/>
      <c r="M14" s="44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M06c</v>
      </c>
      <c r="D15" s="8" t="str">
        <f aca="false">Peta_Artefak!D11</f>
        <v>Model Kebutuhan (Use Case)</v>
      </c>
      <c r="E15" s="10" t="s">
        <v>53</v>
      </c>
      <c r="F15" s="41"/>
      <c r="G15" s="42"/>
      <c r="H15" s="42"/>
      <c r="I15" s="42"/>
      <c r="J15" s="42"/>
      <c r="K15" s="43"/>
      <c r="L15" s="43"/>
      <c r="M15" s="44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</v>
      </c>
      <c r="D16" s="8" t="str">
        <f aca="false">Peta_Artefak!D12</f>
        <v>Jadwal Proyek (Timeline/Gantt)</v>
      </c>
      <c r="E16" s="10" t="s">
        <v>57</v>
      </c>
      <c r="F16" s="41"/>
      <c r="G16" s="42"/>
      <c r="H16" s="42"/>
      <c r="I16" s="42"/>
      <c r="J16" s="42"/>
      <c r="K16" s="43"/>
      <c r="L16" s="43"/>
      <c r="M16" s="44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8</v>
      </c>
      <c r="C17" s="9" t="str">
        <f aca="false">Peta_Artefak!C13</f>
        <v>M08a</v>
      </c>
      <c r="D17" s="8" t="str">
        <f aca="false">Peta_Artefak!D13</f>
        <v>Laporan Tengah Semester (LTS)</v>
      </c>
      <c r="E17" s="10" t="s">
        <v>61</v>
      </c>
      <c r="F17" s="41"/>
      <c r="G17" s="42"/>
      <c r="H17" s="42"/>
      <c r="I17" s="42"/>
      <c r="J17" s="42"/>
      <c r="K17" s="43"/>
      <c r="L17" s="43"/>
      <c r="M17" s="44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M08b</v>
      </c>
      <c r="D18" s="8" t="str">
        <f aca="false">Peta_Artefak!D14</f>
        <v>Slide Presentasi LTS</v>
      </c>
      <c r="E18" s="10" t="s">
        <v>65</v>
      </c>
      <c r="F18" s="41"/>
      <c r="G18" s="42"/>
      <c r="H18" s="42"/>
      <c r="I18" s="42"/>
      <c r="J18" s="42"/>
      <c r="K18" s="43"/>
      <c r="L18" s="43"/>
      <c r="M18" s="44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20" customFormat="false" ht="15" hidden="false" customHeight="false" outlineLevel="0" collapsed="false">
      <c r="D20" s="45" t="s">
        <v>227</v>
      </c>
    </row>
    <row r="21" customFormat="false" ht="15" hidden="false" customHeight="false" outlineLevel="0" collapsed="false">
      <c r="D21" s="46" t="s">
        <v>205</v>
      </c>
      <c r="F21" s="47" t="n">
        <f aca="false">SUMPRODUCT(Peta_Artefak!$H$5:$H$14,Peta_Artefak!$I$5:$I$14)/400</f>
        <v>0.8475</v>
      </c>
    </row>
    <row r="22" customFormat="false" ht="15" hidden="false" customHeight="false" outlineLevel="0" collapsed="false">
      <c r="D22" s="46" t="s">
        <v>228</v>
      </c>
      <c r="F22" s="47" t="n">
        <f aca="false">SUMPRODUCT(Peta_Artefak!$H$5:$H$14,F9:F18)/400</f>
        <v>0</v>
      </c>
    </row>
    <row r="23" customFormat="false" ht="15" hidden="false" customHeight="false" outlineLevel="0" collapsed="false">
      <c r="D23" s="46" t="s">
        <v>229</v>
      </c>
      <c r="F23" s="47" t="n">
        <f aca="false">SUMPRODUCT(Peta_Artefak!$H$5:$H$14,N9:N18)/400</f>
        <v>0</v>
      </c>
    </row>
    <row r="24" customFormat="false" ht="15" hidden="false" customHeight="false" outlineLevel="0" collapsed="false">
      <c r="D24" s="46" t="s">
        <v>230</v>
      </c>
      <c r="F24" s="48" t="n">
        <f aca="false">IF(F21=0,0,F23/F21)</f>
        <v>0</v>
      </c>
    </row>
    <row r="25" customFormat="false" ht="15" hidden="false" customHeight="false" outlineLevel="0" collapsed="false">
      <c r="D25" s="46" t="s">
        <v>131</v>
      </c>
      <c r="F25" s="49" t="str">
        <f aca="false">IF(COUNT(L9:L18)=0,"Belum diverifikasi",IF(F24&gt;=Panduan_Dosen!$C$25,"On Track",IF(F24&gt;=Panduan_Dosen!$C$26,"Perlu Perhatian","Kritis")))</f>
        <v>Belum diverifikasi</v>
      </c>
    </row>
    <row r="26" customFormat="false" ht="15" hidden="false" customHeight="false" outlineLevel="0" collapsed="false">
      <c r="D26" s="46" t="s">
        <v>231</v>
      </c>
      <c r="F26" s="47" t="n">
        <f aca="false">F23*Panduan_Dosen!$C$14</f>
        <v>0</v>
      </c>
    </row>
    <row r="27" customFormat="false" ht="15" hidden="false" customHeight="false" outlineLevel="0" collapsed="false">
      <c r="D27" s="46" t="s">
        <v>232</v>
      </c>
      <c r="F27" s="50" t="n">
        <f aca="false">COUNTIF(P9:P18,"Overclaim")</f>
        <v>0</v>
      </c>
    </row>
    <row r="28" customFormat="false" ht="15" hidden="false" customHeight="false" outlineLevel="0" collapsed="false">
      <c r="D28" s="46" t="s">
        <v>233</v>
      </c>
      <c r="F28" s="50" t="n">
        <f aca="false">COUNTIF(P9:P18,"Belum diverifikasi")</f>
        <v>0</v>
      </c>
    </row>
    <row r="29" customFormat="false" ht="15" hidden="false" customHeight="false" outlineLevel="0" collapsed="false">
      <c r="D29" s="46" t="s">
        <v>234</v>
      </c>
      <c r="F29" s="51"/>
    </row>
    <row r="30" customFormat="false" ht="15" hidden="false" customHeight="false" outlineLevel="0" collapsed="false">
      <c r="D30" s="46" t="s">
        <v>235</v>
      </c>
      <c r="F30" s="51"/>
    </row>
    <row r="31" customFormat="false" ht="15" hidden="false" customHeight="false" outlineLevel="0" collapsed="false">
      <c r="D31" s="46" t="s">
        <v>236</v>
      </c>
      <c r="F31" s="51"/>
    </row>
    <row r="32" customFormat="false" ht="15" hidden="false" customHeight="false" outlineLevel="0" collapsed="false">
      <c r="D32" s="46" t="s">
        <v>237</v>
      </c>
      <c r="F32" s="51"/>
    </row>
    <row r="33" customFormat="false" ht="15" hidden="false" customHeight="false" outlineLevel="0" collapsed="false">
      <c r="D33" s="46" t="s">
        <v>238</v>
      </c>
      <c r="F33" s="51"/>
    </row>
    <row r="34" customFormat="false" ht="15" hidden="false" customHeight="false" outlineLevel="0" collapsed="false">
      <c r="D34" s="46" t="s">
        <v>239</v>
      </c>
      <c r="F34" s="51"/>
    </row>
    <row r="35" customFormat="false" ht="15" hidden="false" customHeight="false" outlineLevel="0" collapsed="false">
      <c r="D35" s="46" t="s">
        <v>240</v>
      </c>
      <c r="F35" s="51"/>
    </row>
    <row r="36" customFormat="false" ht="15" hidden="false" customHeight="false" outlineLevel="0" collapsed="false">
      <c r="D36" s="46" t="s">
        <v>241</v>
      </c>
      <c r="F36" s="52" t="str">
        <f aca="false">IF(COUNT(F29:F35)&lt;7,"",ROUND(SUMPRODUCT(F29:F35,Panduan_Dosen!$C$31:$C$37)/SUM(Panduan_Dosen!$C$31:$C$37)/5*100,1))</f>
        <v/>
      </c>
    </row>
    <row r="37" customFormat="false" ht="15" hidden="false" customHeight="false" outlineLevel="0" collapsed="false">
      <c r="D37" s="46" t="s">
        <v>242</v>
      </c>
      <c r="F37" s="51"/>
    </row>
    <row r="38" customFormat="false" ht="15" hidden="false" customHeight="false" outlineLevel="0" collapsed="false">
      <c r="D38" s="46" t="s">
        <v>243</v>
      </c>
      <c r="F38" s="51"/>
    </row>
    <row r="39" customFormat="false" ht="15" hidden="false" customHeight="false" outlineLevel="0" collapsed="false">
      <c r="D39" s="46" t="s">
        <v>244</v>
      </c>
      <c r="F39" s="51"/>
    </row>
    <row r="40" customFormat="false" ht="15" hidden="false" customHeight="false" outlineLevel="0" collapsed="false">
      <c r="D40" s="46" t="s">
        <v>245</v>
      </c>
      <c r="F40" s="51"/>
    </row>
    <row r="41" customFormat="false" ht="15" hidden="false" customHeight="false" outlineLevel="0" collapsed="false">
      <c r="D41" s="46" t="s">
        <v>246</v>
      </c>
      <c r="F41" s="52" t="str">
        <f aca="false">IF(COUNT(F37:F40)&lt;4,"",ROUND(SUMPRODUCT(F37:F40,Panduan_Dosen!$C$42:$C$45)/SUM(Panduan_Dosen!$C$42:$C$45)/5*100,1))</f>
        <v/>
      </c>
    </row>
    <row r="42" customFormat="false" ht="15" hidden="false" customHeight="false" outlineLevel="0" collapsed="false">
      <c r="D42" s="46" t="s">
        <v>247</v>
      </c>
      <c r="F42" s="52" t="str">
        <f aca="false">IF(OR(COUNT(L9:L18)=0,F36="",F41=""),"",ROUND(Panduan_Dosen!$C$18*MIN(F24,1)*100+Panduan_Dosen!$C$19*F36+Panduan_Dosen!$C$20*F41,1))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8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5">
    <cfRule type="expression" priority="4" aboveAverage="0" equalAverage="0" bottom="0" percent="0" rank="0" text="" dxfId="2">
      <formula>F25="On Track"</formula>
    </cfRule>
    <cfRule type="expression" priority="5" aboveAverage="0" equalAverage="0" bottom="0" percent="0" rank="0" text="" dxfId="1">
      <formula>F25="Perlu Perhatian"</formula>
    </cfRule>
    <cfRule type="expression" priority="6" aboveAverage="0" equalAverage="0" bottom="0" percent="0" rank="0" text="" dxfId="0">
      <formula>F25="Kritis"</formula>
    </cfRule>
  </conditionalFormatting>
  <dataValidations count="3">
    <dataValidation allowBlank="false" error="Isi angka 0–4" errorStyle="stop" operator="between" showDropDown="false" showErrorMessage="true" showInputMessage="false" sqref="F9:F18 L9:L18" type="whole">
      <formula1>0</formula1>
      <formula2>4</formula2>
    </dataValidation>
    <dataValidation allowBlank="false" errorStyle="stop" operator="between" showDropDown="false" showErrorMessage="false" showInputMessage="false" sqref="F29:F35 F37:F40" type="whole">
      <formula1>1</formula1>
      <formula2>5</formula2>
    </dataValidation>
    <dataValidation allowBlank="true" errorStyle="stop" operator="between" showDropDown="false" showErrorMessage="false" showInputMessage="false" sqref="K9:K18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6"/>
  </cols>
  <sheetData>
    <row r="1" customFormat="false" ht="16.15" hidden="false" customHeight="false" outlineLevel="0" collapsed="false">
      <c r="A1" s="26" t="s">
        <v>206</v>
      </c>
    </row>
    <row r="2" customFormat="false" ht="15" hidden="false" customHeight="false" outlineLevel="0" collapsed="false">
      <c r="A2" s="32" t="s">
        <v>207</v>
      </c>
      <c r="B2" s="32"/>
      <c r="C2" s="32"/>
      <c r="D2" s="33" t="s">
        <v>254</v>
      </c>
      <c r="E2" s="33"/>
      <c r="F2" s="33"/>
      <c r="G2" s="33"/>
      <c r="H2" s="33"/>
      <c r="I2" s="33"/>
    </row>
    <row r="3" customFormat="false" ht="15" hidden="false" customHeight="false" outlineLevel="0" collapsed="false">
      <c r="A3" s="32" t="s">
        <v>209</v>
      </c>
      <c r="B3" s="32"/>
      <c r="C3" s="32"/>
      <c r="D3" s="33" t="s">
        <v>255</v>
      </c>
      <c r="E3" s="33"/>
      <c r="F3" s="33"/>
      <c r="G3" s="33"/>
      <c r="H3" s="33"/>
      <c r="I3" s="33"/>
    </row>
    <row r="4" customFormat="false" ht="15" hidden="false" customHeight="false" outlineLevel="0" collapsed="false">
      <c r="A4" s="32" t="s">
        <v>211</v>
      </c>
      <c r="B4" s="32"/>
      <c r="C4" s="32"/>
      <c r="D4" s="34"/>
      <c r="E4" s="34"/>
      <c r="F4" s="34"/>
      <c r="G4" s="34"/>
      <c r="H4" s="34"/>
      <c r="I4" s="34"/>
    </row>
    <row r="5" customFormat="false" ht="15" hidden="false" customHeight="false" outlineLevel="0" collapsed="false">
      <c r="A5" s="32" t="s">
        <v>212</v>
      </c>
      <c r="B5" s="32"/>
      <c r="C5" s="32"/>
      <c r="D5" s="35" t="s">
        <v>213</v>
      </c>
      <c r="E5" s="35"/>
      <c r="F5" s="35"/>
      <c r="G5" s="35"/>
      <c r="H5" s="35"/>
      <c r="I5" s="35"/>
    </row>
    <row r="7" customFormat="false" ht="15" hidden="false" customHeight="false" outlineLevel="0" collapsed="false">
      <c r="A7" s="36" t="s">
        <v>214</v>
      </c>
      <c r="B7" s="36"/>
      <c r="C7" s="36"/>
      <c r="D7" s="36"/>
      <c r="E7" s="36"/>
      <c r="F7" s="37" t="s">
        <v>215</v>
      </c>
      <c r="G7" s="37"/>
      <c r="H7" s="37"/>
      <c r="I7" s="37"/>
      <c r="J7" s="37"/>
      <c r="K7" s="38" t="s">
        <v>216</v>
      </c>
      <c r="L7" s="38"/>
      <c r="M7" s="38"/>
      <c r="N7" s="36" t="s">
        <v>217</v>
      </c>
      <c r="O7" s="36"/>
      <c r="P7" s="36"/>
    </row>
    <row r="8" customFormat="false" ht="42" hidden="false" customHeight="true" outlineLevel="0" collapsed="false">
      <c r="A8" s="5" t="s">
        <v>5</v>
      </c>
      <c r="B8" s="5" t="s">
        <v>173</v>
      </c>
      <c r="C8" s="5" t="s">
        <v>24</v>
      </c>
      <c r="D8" s="5" t="s">
        <v>174</v>
      </c>
      <c r="E8" s="5" t="s">
        <v>218</v>
      </c>
      <c r="F8" s="39" t="s">
        <v>219</v>
      </c>
      <c r="G8" s="39" t="s">
        <v>220</v>
      </c>
      <c r="H8" s="39" t="s">
        <v>93</v>
      </c>
      <c r="I8" s="39" t="s">
        <v>95</v>
      </c>
      <c r="J8" s="39" t="s">
        <v>97</v>
      </c>
      <c r="K8" s="40" t="s">
        <v>221</v>
      </c>
      <c r="L8" s="40" t="s">
        <v>222</v>
      </c>
      <c r="M8" s="40" t="s">
        <v>223</v>
      </c>
      <c r="N8" s="5" t="s">
        <v>224</v>
      </c>
      <c r="O8" s="5" t="s">
        <v>225</v>
      </c>
      <c r="P8" s="5" t="s">
        <v>226</v>
      </c>
    </row>
    <row r="9" customFormat="false" ht="30" hidden="false" customHeight="true" outlineLevel="0" collapsed="false">
      <c r="A9" s="9" t="n">
        <v>1</v>
      </c>
      <c r="B9" s="9" t="n">
        <f aca="false">Peta_Artefak!B5</f>
        <v>1</v>
      </c>
      <c r="C9" s="9" t="str">
        <f aca="false">Peta_Artefak!C5</f>
        <v>M01</v>
      </c>
      <c r="D9" s="8" t="str">
        <f aca="false">Peta_Artefak!D5</f>
        <v>Workspace Notion kelompok &amp; topik proyek</v>
      </c>
      <c r="E9" s="10" t="s">
        <v>31</v>
      </c>
      <c r="F9" s="41"/>
      <c r="G9" s="42"/>
      <c r="H9" s="42"/>
      <c r="I9" s="42"/>
      <c r="J9" s="42"/>
      <c r="K9" s="43"/>
      <c r="L9" s="43"/>
      <c r="M9" s="44"/>
      <c r="N9" s="30" t="n">
        <f aca="false">IF(K9="Tidak",0,IF(L9="",0,L9))</f>
        <v>0</v>
      </c>
      <c r="O9" s="9" t="str">
        <f aca="false">IF(AND(F9&lt;&gt;"",L9&lt;&gt;""),F9-L9,"")</f>
        <v/>
      </c>
      <c r="P9" s="9" t="str">
        <f aca="false">IF(AND(F9&lt;&gt;"",F9&gt;0,G9=""),"Link PDF kosong",IF(AND(O9&lt;&gt;"",N(O9)&gt;=2),"Overclaim",IF(AND(F9&lt;&gt;"",L9=""),"Belum diverifikasi","")))</f>
        <v/>
      </c>
    </row>
    <row r="10" customFormat="false" ht="30" hidden="false" customHeight="true" outlineLevel="0" collapsed="false">
      <c r="A10" s="9" t="n">
        <v>2</v>
      </c>
      <c r="B10" s="9" t="n">
        <f aca="false">Peta_Artefak!B6</f>
        <v>2</v>
      </c>
      <c r="C10" s="9" t="str">
        <f aca="false">Peta_Artefak!C6</f>
        <v>M02</v>
      </c>
      <c r="D10" s="8" t="str">
        <f aca="false">Peta_Artefak!D6</f>
        <v>Problem Statement &amp; Business Case</v>
      </c>
      <c r="E10" s="10" t="s">
        <v>35</v>
      </c>
      <c r="F10" s="41"/>
      <c r="G10" s="42"/>
      <c r="H10" s="42"/>
      <c r="I10" s="42"/>
      <c r="J10" s="42"/>
      <c r="K10" s="43"/>
      <c r="L10" s="43"/>
      <c r="M10" s="44"/>
      <c r="N10" s="30" t="n">
        <f aca="false">IF(K10="Tidak",0,IF(L10="",0,L10))</f>
        <v>0</v>
      </c>
      <c r="O10" s="9" t="str">
        <f aca="false">IF(AND(F10&lt;&gt;"",L10&lt;&gt;""),F10-L10,"")</f>
        <v/>
      </c>
      <c r="P10" s="9" t="str">
        <f aca="false">IF(AND(F10&lt;&gt;"",F10&gt;0,G10=""),"Link PDF kosong",IF(AND(O10&lt;&gt;"",N(O10)&gt;=2),"Overclaim",IF(AND(F10&lt;&gt;"",L10=""),"Belum diverifikasi","")))</f>
        <v/>
      </c>
    </row>
    <row r="11" customFormat="false" ht="30" hidden="false" customHeight="true" outlineLevel="0" collapsed="false">
      <c r="A11" s="9" t="n">
        <v>3</v>
      </c>
      <c r="B11" s="9" t="n">
        <f aca="false">Peta_Artefak!B7</f>
        <v>3</v>
      </c>
      <c r="C11" s="9" t="str">
        <f aca="false">Peta_Artefak!C7</f>
        <v>M03</v>
      </c>
      <c r="D11" s="8" t="str">
        <f aca="false">Peta_Artefak!D7</f>
        <v>Stakeholder Register &amp; Engagement Plan</v>
      </c>
      <c r="E11" s="10" t="s">
        <v>39</v>
      </c>
      <c r="F11" s="41"/>
      <c r="G11" s="42"/>
      <c r="H11" s="42"/>
      <c r="I11" s="42"/>
      <c r="J11" s="42"/>
      <c r="K11" s="43"/>
      <c r="L11" s="43"/>
      <c r="M11" s="44"/>
      <c r="N11" s="30" t="n">
        <f aca="false">IF(K11="Tidak",0,IF(L11="",0,L11))</f>
        <v>0</v>
      </c>
      <c r="O11" s="9" t="str">
        <f aca="false">IF(AND(F11&lt;&gt;"",L11&lt;&gt;""),F11-L11,"")</f>
        <v/>
      </c>
      <c r="P11" s="9" t="str">
        <f aca="false">IF(AND(F11&lt;&gt;"",F11&gt;0,G11=""),"Link PDF kosong",IF(AND(O11&lt;&gt;"",N(O11)&gt;=2),"Overclaim",IF(AND(F11&lt;&gt;"",L11=""),"Belum diverifikasi","")))</f>
        <v/>
      </c>
    </row>
    <row r="12" customFormat="false" ht="30" hidden="false" customHeight="true" outlineLevel="0" collapsed="false">
      <c r="A12" s="9" t="n">
        <v>4</v>
      </c>
      <c r="B12" s="9" t="n">
        <f aca="false">Peta_Artefak!B8</f>
        <v>5</v>
      </c>
      <c r="C12" s="9" t="str">
        <f aca="false">Peta_Artefak!C8</f>
        <v>M05</v>
      </c>
      <c r="D12" s="8" t="str">
        <f aca="false">Peta_Artefak!D8</f>
        <v>Project Charter</v>
      </c>
      <c r="E12" s="10" t="s">
        <v>43</v>
      </c>
      <c r="F12" s="41"/>
      <c r="G12" s="42"/>
      <c r="H12" s="42"/>
      <c r="I12" s="42"/>
      <c r="J12" s="42"/>
      <c r="K12" s="43"/>
      <c r="L12" s="43"/>
      <c r="M12" s="44"/>
      <c r="N12" s="30" t="n">
        <f aca="false">IF(K12="Tidak",0,IF(L12="",0,L12))</f>
        <v>0</v>
      </c>
      <c r="O12" s="9" t="str">
        <f aca="false">IF(AND(F12&lt;&gt;"",L12&lt;&gt;""),F12-L12,"")</f>
        <v/>
      </c>
      <c r="P12" s="9" t="str">
        <f aca="false">IF(AND(F12&lt;&gt;"",F12&gt;0,G12=""),"Link PDF kosong",IF(AND(O12&lt;&gt;"",N(O12)&gt;=2),"Overclaim",IF(AND(F12&lt;&gt;"",L12=""),"Belum diverifikasi","")))</f>
        <v/>
      </c>
    </row>
    <row r="13" customFormat="false" ht="30" hidden="false" customHeight="true" outlineLevel="0" collapsed="false">
      <c r="A13" s="9" t="n">
        <v>5</v>
      </c>
      <c r="B13" s="9" t="n">
        <f aca="false">Peta_Artefak!B9</f>
        <v>6</v>
      </c>
      <c r="C13" s="9" t="str">
        <f aca="false">Peta_Artefak!C9</f>
        <v>M06a</v>
      </c>
      <c r="D13" s="8" t="str">
        <f aca="false">Peta_Artefak!D9</f>
        <v>Scope Statement</v>
      </c>
      <c r="E13" s="10" t="s">
        <v>46</v>
      </c>
      <c r="F13" s="41"/>
      <c r="G13" s="42"/>
      <c r="H13" s="42"/>
      <c r="I13" s="42"/>
      <c r="J13" s="42"/>
      <c r="K13" s="43"/>
      <c r="L13" s="43"/>
      <c r="M13" s="44"/>
      <c r="N13" s="30" t="n">
        <f aca="false">IF(K13="Tidak",0,IF(L13="",0,L13))</f>
        <v>0</v>
      </c>
      <c r="O13" s="9" t="str">
        <f aca="false">IF(AND(F13&lt;&gt;"",L13&lt;&gt;""),F13-L13,"")</f>
        <v/>
      </c>
      <c r="P13" s="9" t="str">
        <f aca="false">IF(AND(F13&lt;&gt;"",F13&gt;0,G13=""),"Link PDF kosong",IF(AND(O13&lt;&gt;"",N(O13)&gt;=2),"Overclaim",IF(AND(F13&lt;&gt;"",L13=""),"Belum diverifikasi","")))</f>
        <v/>
      </c>
    </row>
    <row r="14" customFormat="false" ht="30" hidden="false" customHeight="true" outlineLevel="0" collapsed="false">
      <c r="A14" s="9" t="n">
        <v>6</v>
      </c>
      <c r="B14" s="9" t="n">
        <f aca="false">Peta_Artefak!B10</f>
        <v>6</v>
      </c>
      <c r="C14" s="9" t="str">
        <f aca="false">Peta_Artefak!C10</f>
        <v>M06b</v>
      </c>
      <c r="D14" s="8" t="str">
        <f aca="false">Peta_Artefak!D10</f>
        <v>Work Breakdown Structure</v>
      </c>
      <c r="E14" s="10" t="s">
        <v>50</v>
      </c>
      <c r="F14" s="41"/>
      <c r="G14" s="42"/>
      <c r="H14" s="42"/>
      <c r="I14" s="42"/>
      <c r="J14" s="42"/>
      <c r="K14" s="43"/>
      <c r="L14" s="43"/>
      <c r="M14" s="44"/>
      <c r="N14" s="30" t="n">
        <f aca="false">IF(K14="Tidak",0,IF(L14="",0,L14))</f>
        <v>0</v>
      </c>
      <c r="O14" s="9" t="str">
        <f aca="false">IF(AND(F14&lt;&gt;"",L14&lt;&gt;""),F14-L14,"")</f>
        <v/>
      </c>
      <c r="P14" s="9" t="str">
        <f aca="false">IF(AND(F14&lt;&gt;"",F14&gt;0,G14=""),"Link PDF kosong",IF(AND(O14&lt;&gt;"",N(O14)&gt;=2),"Overclaim",IF(AND(F14&lt;&gt;"",L14=""),"Belum diverifikasi","")))</f>
        <v/>
      </c>
    </row>
    <row r="15" customFormat="false" ht="30" hidden="false" customHeight="true" outlineLevel="0" collapsed="false">
      <c r="A15" s="9" t="n">
        <v>7</v>
      </c>
      <c r="B15" s="9" t="n">
        <f aca="false">Peta_Artefak!B11</f>
        <v>6</v>
      </c>
      <c r="C15" s="9" t="str">
        <f aca="false">Peta_Artefak!C11</f>
        <v>M06c</v>
      </c>
      <c r="D15" s="8" t="str">
        <f aca="false">Peta_Artefak!D11</f>
        <v>Model Kebutuhan (Use Case)</v>
      </c>
      <c r="E15" s="10" t="s">
        <v>53</v>
      </c>
      <c r="F15" s="41"/>
      <c r="G15" s="42"/>
      <c r="H15" s="42"/>
      <c r="I15" s="42"/>
      <c r="J15" s="42"/>
      <c r="K15" s="43"/>
      <c r="L15" s="43"/>
      <c r="M15" s="44"/>
      <c r="N15" s="30" t="n">
        <f aca="false">IF(K15="Tidak",0,IF(L15="",0,L15))</f>
        <v>0</v>
      </c>
      <c r="O15" s="9" t="str">
        <f aca="false">IF(AND(F15&lt;&gt;"",L15&lt;&gt;""),F15-L15,"")</f>
        <v/>
      </c>
      <c r="P15" s="9" t="str">
        <f aca="false">IF(AND(F15&lt;&gt;"",F15&gt;0,G15=""),"Link PDF kosong",IF(AND(O15&lt;&gt;"",N(O15)&gt;=2),"Overclaim",IF(AND(F15&lt;&gt;"",L15=""),"Belum diverifikasi","")))</f>
        <v/>
      </c>
    </row>
    <row r="16" customFormat="false" ht="30" hidden="false" customHeight="true" outlineLevel="0" collapsed="false">
      <c r="A16" s="9" t="n">
        <v>8</v>
      </c>
      <c r="B16" s="9" t="n">
        <f aca="false">Peta_Artefak!B12</f>
        <v>7</v>
      </c>
      <c r="C16" s="9" t="str">
        <f aca="false">Peta_Artefak!C12</f>
        <v>M07</v>
      </c>
      <c r="D16" s="8" t="str">
        <f aca="false">Peta_Artefak!D12</f>
        <v>Jadwal Proyek (Timeline/Gantt)</v>
      </c>
      <c r="E16" s="10" t="s">
        <v>57</v>
      </c>
      <c r="F16" s="41"/>
      <c r="G16" s="42"/>
      <c r="H16" s="42"/>
      <c r="I16" s="42"/>
      <c r="J16" s="42"/>
      <c r="K16" s="43"/>
      <c r="L16" s="43"/>
      <c r="M16" s="44"/>
      <c r="N16" s="30" t="n">
        <f aca="false">IF(K16="Tidak",0,IF(L16="",0,L16))</f>
        <v>0</v>
      </c>
      <c r="O16" s="9" t="str">
        <f aca="false">IF(AND(F16&lt;&gt;"",L16&lt;&gt;""),F16-L16,"")</f>
        <v/>
      </c>
      <c r="P16" s="9" t="str">
        <f aca="false">IF(AND(F16&lt;&gt;"",F16&gt;0,G16=""),"Link PDF kosong",IF(AND(O16&lt;&gt;"",N(O16)&gt;=2),"Overclaim",IF(AND(F16&lt;&gt;"",L16=""),"Belum diverifikasi","")))</f>
        <v/>
      </c>
    </row>
    <row r="17" customFormat="false" ht="30" hidden="false" customHeight="true" outlineLevel="0" collapsed="false">
      <c r="A17" s="9" t="n">
        <v>9</v>
      </c>
      <c r="B17" s="9" t="n">
        <f aca="false">Peta_Artefak!B13</f>
        <v>8</v>
      </c>
      <c r="C17" s="9" t="str">
        <f aca="false">Peta_Artefak!C13</f>
        <v>M08a</v>
      </c>
      <c r="D17" s="8" t="str">
        <f aca="false">Peta_Artefak!D13</f>
        <v>Laporan Tengah Semester (LTS)</v>
      </c>
      <c r="E17" s="10" t="s">
        <v>61</v>
      </c>
      <c r="F17" s="41"/>
      <c r="G17" s="42"/>
      <c r="H17" s="42"/>
      <c r="I17" s="42"/>
      <c r="J17" s="42"/>
      <c r="K17" s="43"/>
      <c r="L17" s="43"/>
      <c r="M17" s="44"/>
      <c r="N17" s="30" t="n">
        <f aca="false">IF(K17="Tidak",0,IF(L17="",0,L17))</f>
        <v>0</v>
      </c>
      <c r="O17" s="9" t="str">
        <f aca="false">IF(AND(F17&lt;&gt;"",L17&lt;&gt;""),F17-L17,"")</f>
        <v/>
      </c>
      <c r="P17" s="9" t="str">
        <f aca="false">IF(AND(F17&lt;&gt;"",F17&gt;0,G17=""),"Link PDF kosong",IF(AND(O17&lt;&gt;"",N(O17)&gt;=2),"Overclaim",IF(AND(F17&lt;&gt;"",L17=""),"Belum diverifikasi","")))</f>
        <v/>
      </c>
    </row>
    <row r="18" customFormat="false" ht="30" hidden="false" customHeight="true" outlineLevel="0" collapsed="false">
      <c r="A18" s="9" t="n">
        <v>10</v>
      </c>
      <c r="B18" s="9" t="n">
        <f aca="false">Peta_Artefak!B14</f>
        <v>8</v>
      </c>
      <c r="C18" s="9" t="str">
        <f aca="false">Peta_Artefak!C14</f>
        <v>M08b</v>
      </c>
      <c r="D18" s="8" t="str">
        <f aca="false">Peta_Artefak!D14</f>
        <v>Slide Presentasi LTS</v>
      </c>
      <c r="E18" s="10" t="s">
        <v>65</v>
      </c>
      <c r="F18" s="41"/>
      <c r="G18" s="42"/>
      <c r="H18" s="42"/>
      <c r="I18" s="42"/>
      <c r="J18" s="42"/>
      <c r="K18" s="43"/>
      <c r="L18" s="43"/>
      <c r="M18" s="44"/>
      <c r="N18" s="30" t="n">
        <f aca="false">IF(K18="Tidak",0,IF(L18="",0,L18))</f>
        <v>0</v>
      </c>
      <c r="O18" s="9" t="str">
        <f aca="false">IF(AND(F18&lt;&gt;"",L18&lt;&gt;""),F18-L18,"")</f>
        <v/>
      </c>
      <c r="P18" s="9" t="str">
        <f aca="false">IF(AND(F18&lt;&gt;"",F18&gt;0,G18=""),"Link PDF kosong",IF(AND(O18&lt;&gt;"",N(O18)&gt;=2),"Overclaim",IF(AND(F18&lt;&gt;"",L18=""),"Belum diverifikasi","")))</f>
        <v/>
      </c>
    </row>
    <row r="20" customFormat="false" ht="15" hidden="false" customHeight="false" outlineLevel="0" collapsed="false">
      <c r="D20" s="45" t="s">
        <v>227</v>
      </c>
    </row>
    <row r="21" customFormat="false" ht="15" hidden="false" customHeight="false" outlineLevel="0" collapsed="false">
      <c r="D21" s="46" t="s">
        <v>205</v>
      </c>
      <c r="F21" s="47" t="n">
        <f aca="false">SUMPRODUCT(Peta_Artefak!$H$5:$H$14,Peta_Artefak!$I$5:$I$14)/400</f>
        <v>0.8475</v>
      </c>
    </row>
    <row r="22" customFormat="false" ht="15" hidden="false" customHeight="false" outlineLevel="0" collapsed="false">
      <c r="D22" s="46" t="s">
        <v>228</v>
      </c>
      <c r="F22" s="47" t="n">
        <f aca="false">SUMPRODUCT(Peta_Artefak!$H$5:$H$14,F9:F18)/400</f>
        <v>0</v>
      </c>
    </row>
    <row r="23" customFormat="false" ht="15" hidden="false" customHeight="false" outlineLevel="0" collapsed="false">
      <c r="D23" s="46" t="s">
        <v>229</v>
      </c>
      <c r="F23" s="47" t="n">
        <f aca="false">SUMPRODUCT(Peta_Artefak!$H$5:$H$14,N9:N18)/400</f>
        <v>0</v>
      </c>
    </row>
    <row r="24" customFormat="false" ht="15" hidden="false" customHeight="false" outlineLevel="0" collapsed="false">
      <c r="D24" s="46" t="s">
        <v>230</v>
      </c>
      <c r="F24" s="48" t="n">
        <f aca="false">IF(F21=0,0,F23/F21)</f>
        <v>0</v>
      </c>
    </row>
    <row r="25" customFormat="false" ht="15" hidden="false" customHeight="false" outlineLevel="0" collapsed="false">
      <c r="D25" s="46" t="s">
        <v>131</v>
      </c>
      <c r="F25" s="49" t="str">
        <f aca="false">IF(COUNT(L9:L18)=0,"Belum diverifikasi",IF(F24&gt;=Panduan_Dosen!$C$25,"On Track",IF(F24&gt;=Panduan_Dosen!$C$26,"Perlu Perhatian","Kritis")))</f>
        <v>Belum diverifikasi</v>
      </c>
    </row>
    <row r="26" customFormat="false" ht="15" hidden="false" customHeight="false" outlineLevel="0" collapsed="false">
      <c r="D26" s="46" t="s">
        <v>231</v>
      </c>
      <c r="F26" s="47" t="n">
        <f aca="false">F23*Panduan_Dosen!$C$14</f>
        <v>0</v>
      </c>
    </row>
    <row r="27" customFormat="false" ht="15" hidden="false" customHeight="false" outlineLevel="0" collapsed="false">
      <c r="D27" s="46" t="s">
        <v>232</v>
      </c>
      <c r="F27" s="50" t="n">
        <f aca="false">COUNTIF(P9:P18,"Overclaim")</f>
        <v>0</v>
      </c>
    </row>
    <row r="28" customFormat="false" ht="15" hidden="false" customHeight="false" outlineLevel="0" collapsed="false">
      <c r="D28" s="46" t="s">
        <v>233</v>
      </c>
      <c r="F28" s="50" t="n">
        <f aca="false">COUNTIF(P9:P18,"Belum diverifikasi")</f>
        <v>0</v>
      </c>
    </row>
    <row r="29" customFormat="false" ht="15" hidden="false" customHeight="false" outlineLevel="0" collapsed="false">
      <c r="D29" s="46" t="s">
        <v>234</v>
      </c>
      <c r="F29" s="51"/>
    </row>
    <row r="30" customFormat="false" ht="15" hidden="false" customHeight="false" outlineLevel="0" collapsed="false">
      <c r="D30" s="46" t="s">
        <v>235</v>
      </c>
      <c r="F30" s="51"/>
    </row>
    <row r="31" customFormat="false" ht="15" hidden="false" customHeight="false" outlineLevel="0" collapsed="false">
      <c r="D31" s="46" t="s">
        <v>236</v>
      </c>
      <c r="F31" s="51"/>
    </row>
    <row r="32" customFormat="false" ht="15" hidden="false" customHeight="false" outlineLevel="0" collapsed="false">
      <c r="D32" s="46" t="s">
        <v>237</v>
      </c>
      <c r="F32" s="51"/>
    </row>
    <row r="33" customFormat="false" ht="15" hidden="false" customHeight="false" outlineLevel="0" collapsed="false">
      <c r="D33" s="46" t="s">
        <v>238</v>
      </c>
      <c r="F33" s="51"/>
    </row>
    <row r="34" customFormat="false" ht="15" hidden="false" customHeight="false" outlineLevel="0" collapsed="false">
      <c r="D34" s="46" t="s">
        <v>239</v>
      </c>
      <c r="F34" s="51"/>
    </row>
    <row r="35" customFormat="false" ht="15" hidden="false" customHeight="false" outlineLevel="0" collapsed="false">
      <c r="D35" s="46" t="s">
        <v>240</v>
      </c>
      <c r="F35" s="51"/>
    </row>
    <row r="36" customFormat="false" ht="15" hidden="false" customHeight="false" outlineLevel="0" collapsed="false">
      <c r="D36" s="46" t="s">
        <v>241</v>
      </c>
      <c r="F36" s="52" t="str">
        <f aca="false">IF(COUNT(F29:F35)&lt;7,"",ROUND(SUMPRODUCT(F29:F35,Panduan_Dosen!$C$31:$C$37)/SUM(Panduan_Dosen!$C$31:$C$37)/5*100,1))</f>
        <v/>
      </c>
    </row>
    <row r="37" customFormat="false" ht="15" hidden="false" customHeight="false" outlineLevel="0" collapsed="false">
      <c r="D37" s="46" t="s">
        <v>242</v>
      </c>
      <c r="F37" s="51"/>
    </row>
    <row r="38" customFormat="false" ht="15" hidden="false" customHeight="false" outlineLevel="0" collapsed="false">
      <c r="D38" s="46" t="s">
        <v>243</v>
      </c>
      <c r="F38" s="51"/>
    </row>
    <row r="39" customFormat="false" ht="15" hidden="false" customHeight="false" outlineLevel="0" collapsed="false">
      <c r="D39" s="46" t="s">
        <v>244</v>
      </c>
      <c r="F39" s="51"/>
    </row>
    <row r="40" customFormat="false" ht="15" hidden="false" customHeight="false" outlineLevel="0" collapsed="false">
      <c r="D40" s="46" t="s">
        <v>245</v>
      </c>
      <c r="F40" s="51"/>
    </row>
    <row r="41" customFormat="false" ht="15" hidden="false" customHeight="false" outlineLevel="0" collapsed="false">
      <c r="D41" s="46" t="s">
        <v>246</v>
      </c>
      <c r="F41" s="52" t="str">
        <f aca="false">IF(COUNT(F37:F40)&lt;4,"",ROUND(SUMPRODUCT(F37:F40,Panduan_Dosen!$C$42:$C$45)/SUM(Panduan_Dosen!$C$42:$C$45)/5*100,1))</f>
        <v/>
      </c>
    </row>
    <row r="42" customFormat="false" ht="15" hidden="false" customHeight="false" outlineLevel="0" collapsed="false">
      <c r="D42" s="46" t="s">
        <v>247</v>
      </c>
      <c r="F42" s="52" t="str">
        <f aca="false">IF(OR(COUNT(L9:L18)=0,F36="",F41=""),"",ROUND(Panduan_Dosen!$C$18*MIN(F24,1)*100+Panduan_Dosen!$C$19*F36+Panduan_Dosen!$C$20*F41,1))</f>
        <v/>
      </c>
    </row>
  </sheetData>
  <mergeCells count="12">
    <mergeCell ref="A2:C2"/>
    <mergeCell ref="D2:I2"/>
    <mergeCell ref="A3:C3"/>
    <mergeCell ref="D3:I3"/>
    <mergeCell ref="A4:C4"/>
    <mergeCell ref="D4:I4"/>
    <mergeCell ref="A5:C5"/>
    <mergeCell ref="D5:I5"/>
    <mergeCell ref="A7:E7"/>
    <mergeCell ref="F7:J7"/>
    <mergeCell ref="K7:M7"/>
    <mergeCell ref="N7:P7"/>
  </mergeCells>
  <conditionalFormatting sqref="P9:P18">
    <cfRule type="expression" priority="2" aboveAverage="0" equalAverage="0" bottom="0" percent="0" rank="0" text="" dxfId="0">
      <formula>P9="Overclaim"</formula>
    </cfRule>
    <cfRule type="expression" priority="3" aboveAverage="0" equalAverage="0" bottom="0" percent="0" rank="0" text="" dxfId="1">
      <formula>P9="Link PDF kosong"</formula>
    </cfRule>
  </conditionalFormatting>
  <conditionalFormatting sqref="F25">
    <cfRule type="expression" priority="4" aboveAverage="0" equalAverage="0" bottom="0" percent="0" rank="0" text="" dxfId="2">
      <formula>F25="On Track"</formula>
    </cfRule>
    <cfRule type="expression" priority="5" aboveAverage="0" equalAverage="0" bottom="0" percent="0" rank="0" text="" dxfId="1">
      <formula>F25="Perlu Perhatian"</formula>
    </cfRule>
    <cfRule type="expression" priority="6" aboveAverage="0" equalAverage="0" bottom="0" percent="0" rank="0" text="" dxfId="0">
      <formula>F25="Kritis"</formula>
    </cfRule>
  </conditionalFormatting>
  <dataValidations count="3">
    <dataValidation allowBlank="false" error="Isi angka 0–4" errorStyle="stop" operator="between" showDropDown="false" showErrorMessage="true" showInputMessage="false" sqref="F9:F18 L9:L18" type="whole">
      <formula1>0</formula1>
      <formula2>4</formula2>
    </dataValidation>
    <dataValidation allowBlank="false" errorStyle="stop" operator="between" showDropDown="false" showErrorMessage="false" showInputMessage="false" sqref="F29:F35 F37:F40" type="whole">
      <formula1>1</formula1>
      <formula2>5</formula2>
    </dataValidation>
    <dataValidation allowBlank="true" errorStyle="stop" operator="between" showDropDown="false" showErrorMessage="false" showInputMessage="false" sqref="K9:K18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40"/>
  </cols>
  <sheetData>
    <row r="1" customFormat="false" ht="16.15" hidden="false" customHeight="false" outlineLevel="0" collapsed="false">
      <c r="A1" s="26" t="s">
        <v>256</v>
      </c>
    </row>
    <row r="2" customFormat="false" ht="15" hidden="false" customHeight="false" outlineLevel="0" collapsed="false">
      <c r="A2" s="53" t="s">
        <v>257</v>
      </c>
    </row>
    <row r="4" customFormat="false" ht="35.05" hidden="false" customHeight="false" outlineLevel="0" collapsed="false">
      <c r="A4" s="5" t="s">
        <v>5</v>
      </c>
      <c r="B4" s="5" t="s">
        <v>207</v>
      </c>
      <c r="C4" s="5" t="s">
        <v>209</v>
      </c>
      <c r="D4" s="5" t="s">
        <v>258</v>
      </c>
      <c r="E4" s="5" t="s">
        <v>259</v>
      </c>
      <c r="F4" s="5" t="s">
        <v>260</v>
      </c>
      <c r="G4" s="5" t="s">
        <v>115</v>
      </c>
      <c r="H4" s="5" t="s">
        <v>131</v>
      </c>
      <c r="I4" s="5" t="s">
        <v>261</v>
      </c>
      <c r="J4" s="5" t="s">
        <v>262</v>
      </c>
      <c r="K4" s="5" t="s">
        <v>263</v>
      </c>
      <c r="L4" s="5" t="s">
        <v>264</v>
      </c>
      <c r="M4" s="5" t="s">
        <v>265</v>
      </c>
      <c r="N4" s="5" t="s">
        <v>266</v>
      </c>
    </row>
    <row r="5" customFormat="false" ht="30" hidden="false" customHeight="true" outlineLevel="0" collapsed="false">
      <c r="A5" s="9" t="n">
        <v>1</v>
      </c>
      <c r="B5" s="8" t="s">
        <v>208</v>
      </c>
      <c r="C5" s="8" t="s">
        <v>210</v>
      </c>
      <c r="D5" s="54" t="n">
        <f aca="false">Kel1!F21</f>
        <v>0.8475</v>
      </c>
      <c r="E5" s="54" t="n">
        <f aca="false">Kel1!F22</f>
        <v>0</v>
      </c>
      <c r="F5" s="54" t="n">
        <f aca="false">Kel1!F23</f>
        <v>0</v>
      </c>
      <c r="G5" s="24" t="n">
        <f aca="false">Kel1!F24</f>
        <v>0</v>
      </c>
      <c r="H5" s="9" t="str">
        <f aca="false">Kel1!F25</f>
        <v>Belum diverifikasi</v>
      </c>
      <c r="I5" s="54" t="n">
        <f aca="false">Kel1!F26</f>
        <v>0</v>
      </c>
      <c r="J5" s="55" t="n">
        <f aca="false">Kel1!F27</f>
        <v>0</v>
      </c>
      <c r="K5" s="56" t="str">
        <f aca="false">Kel1!F36</f>
        <v/>
      </c>
      <c r="L5" s="56" t="str">
        <f aca="false">Kel1!F41</f>
        <v/>
      </c>
      <c r="M5" s="56" t="str">
        <f aca="false">Kel1!F42</f>
        <v/>
      </c>
      <c r="N5" s="57"/>
    </row>
    <row r="6" customFormat="false" ht="30" hidden="false" customHeight="true" outlineLevel="0" collapsed="false">
      <c r="A6" s="9" t="n">
        <v>2</v>
      </c>
      <c r="B6" s="8" t="s">
        <v>248</v>
      </c>
      <c r="C6" s="8" t="s">
        <v>249</v>
      </c>
      <c r="D6" s="54" t="n">
        <f aca="false">Kel2!F21</f>
        <v>0.8475</v>
      </c>
      <c r="E6" s="54" t="n">
        <f aca="false">Kel2!F22</f>
        <v>0</v>
      </c>
      <c r="F6" s="54" t="n">
        <f aca="false">Kel2!F23</f>
        <v>0</v>
      </c>
      <c r="G6" s="24" t="n">
        <f aca="false">Kel2!F24</f>
        <v>0</v>
      </c>
      <c r="H6" s="9" t="str">
        <f aca="false">Kel2!F25</f>
        <v>Belum diverifikasi</v>
      </c>
      <c r="I6" s="54" t="n">
        <f aca="false">Kel2!F26</f>
        <v>0</v>
      </c>
      <c r="J6" s="55" t="n">
        <f aca="false">Kel2!F27</f>
        <v>0</v>
      </c>
      <c r="K6" s="56" t="str">
        <f aca="false">Kel2!F36</f>
        <v/>
      </c>
      <c r="L6" s="56" t="str">
        <f aca="false">Kel2!F41</f>
        <v/>
      </c>
      <c r="M6" s="56" t="str">
        <f aca="false">Kel2!F42</f>
        <v/>
      </c>
      <c r="N6" s="57"/>
    </row>
    <row r="7" customFormat="false" ht="30" hidden="false" customHeight="true" outlineLevel="0" collapsed="false">
      <c r="A7" s="9" t="n">
        <v>3</v>
      </c>
      <c r="B7" s="8" t="s">
        <v>250</v>
      </c>
      <c r="C7" s="8" t="s">
        <v>251</v>
      </c>
      <c r="D7" s="54" t="n">
        <f aca="false">Kel3!F21</f>
        <v>0.8475</v>
      </c>
      <c r="E7" s="54" t="n">
        <f aca="false">Kel3!F22</f>
        <v>0</v>
      </c>
      <c r="F7" s="54" t="n">
        <f aca="false">Kel3!F23</f>
        <v>0</v>
      </c>
      <c r="G7" s="24" t="n">
        <f aca="false">Kel3!F24</f>
        <v>0</v>
      </c>
      <c r="H7" s="9" t="str">
        <f aca="false">Kel3!F25</f>
        <v>Belum diverifikasi</v>
      </c>
      <c r="I7" s="54" t="n">
        <f aca="false">Kel3!F26</f>
        <v>0</v>
      </c>
      <c r="J7" s="55" t="n">
        <f aca="false">Kel3!F27</f>
        <v>0</v>
      </c>
      <c r="K7" s="56" t="str">
        <f aca="false">Kel3!F36</f>
        <v/>
      </c>
      <c r="L7" s="56" t="str">
        <f aca="false">Kel3!F41</f>
        <v/>
      </c>
      <c r="M7" s="56" t="str">
        <f aca="false">Kel3!F42</f>
        <v/>
      </c>
      <c r="N7" s="57"/>
    </row>
    <row r="8" customFormat="false" ht="30" hidden="false" customHeight="true" outlineLevel="0" collapsed="false">
      <c r="A8" s="9" t="n">
        <v>4</v>
      </c>
      <c r="B8" s="8" t="s">
        <v>252</v>
      </c>
      <c r="C8" s="8" t="s">
        <v>253</v>
      </c>
      <c r="D8" s="54" t="n">
        <f aca="false">Kel4!F21</f>
        <v>0.8475</v>
      </c>
      <c r="E8" s="54" t="n">
        <f aca="false">Kel4!F22</f>
        <v>0</v>
      </c>
      <c r="F8" s="54" t="n">
        <f aca="false">Kel4!F23</f>
        <v>0</v>
      </c>
      <c r="G8" s="24" t="n">
        <f aca="false">Kel4!F24</f>
        <v>0</v>
      </c>
      <c r="H8" s="9" t="str">
        <f aca="false">Kel4!F25</f>
        <v>Belum diverifikasi</v>
      </c>
      <c r="I8" s="54" t="n">
        <f aca="false">Kel4!F26</f>
        <v>0</v>
      </c>
      <c r="J8" s="55" t="n">
        <f aca="false">Kel4!F27</f>
        <v>0</v>
      </c>
      <c r="K8" s="56" t="str">
        <f aca="false">Kel4!F36</f>
        <v/>
      </c>
      <c r="L8" s="56" t="str">
        <f aca="false">Kel4!F41</f>
        <v/>
      </c>
      <c r="M8" s="56" t="str">
        <f aca="false">Kel4!F42</f>
        <v/>
      </c>
      <c r="N8" s="57"/>
    </row>
    <row r="9" customFormat="false" ht="30" hidden="false" customHeight="true" outlineLevel="0" collapsed="false">
      <c r="A9" s="9" t="n">
        <v>5</v>
      </c>
      <c r="B9" s="8" t="s">
        <v>254</v>
      </c>
      <c r="C9" s="8" t="s">
        <v>255</v>
      </c>
      <c r="D9" s="54" t="n">
        <f aca="false">Kel5!F21</f>
        <v>0.8475</v>
      </c>
      <c r="E9" s="54" t="n">
        <f aca="false">Kel5!F22</f>
        <v>0</v>
      </c>
      <c r="F9" s="54" t="n">
        <f aca="false">Kel5!F23</f>
        <v>0</v>
      </c>
      <c r="G9" s="24" t="n">
        <f aca="false">Kel5!F24</f>
        <v>0</v>
      </c>
      <c r="H9" s="9" t="str">
        <f aca="false">Kel5!F25</f>
        <v>Belum diverifikasi</v>
      </c>
      <c r="I9" s="54" t="n">
        <f aca="false">Kel5!F26</f>
        <v>0</v>
      </c>
      <c r="J9" s="55" t="n">
        <f aca="false">Kel5!F27</f>
        <v>0</v>
      </c>
      <c r="K9" s="56" t="str">
        <f aca="false">Kel5!F36</f>
        <v/>
      </c>
      <c r="L9" s="56" t="str">
        <f aca="false">Kel5!F41</f>
        <v/>
      </c>
      <c r="M9" s="56" t="str">
        <f aca="false">Kel5!F42</f>
        <v/>
      </c>
      <c r="N9" s="57"/>
    </row>
  </sheetData>
  <conditionalFormatting sqref="H5:H9">
    <cfRule type="expression" priority="2" aboveAverage="0" equalAverage="0" bottom="0" percent="0" rank="0" text="" dxfId="2">
      <formula>H5="On Track"</formula>
    </cfRule>
    <cfRule type="expression" priority="3" aboveAverage="0" equalAverage="0" bottom="0" percent="0" rank="0" text="" dxfId="1">
      <formula>H5="Perlu Perhatian"</formula>
    </cfRule>
    <cfRule type="expression" priority="4" aboveAverage="0" equalAverage="0" bottom="0" percent="0" rank="0" text="" dxfId="0">
      <formula>H5="Kritis"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2026-10-07T07:35:10Z</dcterms:created>
  <dc:creator>openpyxl</dc:creator>
  <dc:description/>
  <dc:language>en-US</dc:language>
  <cp:lastModifiedBy/>
  <dcterms:modified xsi:type="dcterms:W3CDTF">2026-10-07T07:35:10Z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